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ICLE, WORKSHOP\Article 13 (in progress)\"/>
    </mc:Choice>
  </mc:AlternateContent>
  <xr:revisionPtr revIDLastSave="0" documentId="13_ncr:1_{ABC38C09-E1B7-44EA-988C-8965A3B821CC}" xr6:coauthVersionLast="47" xr6:coauthVersionMax="47" xr10:uidLastSave="{00000000-0000-0000-0000-000000000000}"/>
  <bookViews>
    <workbookView xWindow="-120" yWindow="-120" windowWidth="29040" windowHeight="15720" xr2:uid="{75798C7B-8A7B-4FA8-8D29-C6F1F0FF953B}"/>
  </bookViews>
  <sheets>
    <sheet name="Sheet1" sheetId="1" r:id="rId1"/>
  </sheets>
  <definedNames>
    <definedName name="_xlnm._FilterDatabase" localSheetId="0" hidden="1">Sheet1!$C$1:$R$213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4" i="1" l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</calcChain>
</file>

<file path=xl/sharedStrings.xml><?xml version="1.0" encoding="utf-8"?>
<sst xmlns="http://schemas.openxmlformats.org/spreadsheetml/2006/main" count="229" uniqueCount="70">
  <si>
    <t>S1</t>
  </si>
  <si>
    <t>S2</t>
  </si>
  <si>
    <t>S6</t>
  </si>
  <si>
    <t>S3</t>
  </si>
  <si>
    <t>S5</t>
  </si>
  <si>
    <t>S4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</si>
  <si>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</si>
  <si>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</si>
  <si>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</si>
  <si>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</si>
  <si>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</si>
  <si>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</si>
  <si>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</si>
  <si>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</si>
  <si>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</si>
  <si>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</si>
  <si>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</si>
  <si>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</si>
  <si>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</si>
  <si>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</si>
  <si>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</si>
  <si>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</si>
  <si>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</si>
  <si>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</si>
  <si>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</si>
  <si>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</si>
  <si>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</si>
  <si>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</si>
  <si>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</si>
  <si>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</si>
  <si>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</si>
  <si>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</si>
  <si>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</si>
  <si>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</si>
  <si>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</si>
  <si>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</si>
  <si>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</si>
  <si>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</si>
  <si>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</si>
  <si>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</si>
  <si>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</si>
  <si>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</si>
  <si>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</si>
  <si>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</si>
  <si>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</si>
  <si>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</si>
  <si>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</si>
  <si>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</si>
  <si>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</si>
  <si>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</si>
  <si>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</si>
  <si>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</si>
  <si>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</si>
  <si>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station</t>
  </si>
  <si>
    <t xml:space="preserve">nitrite </t>
  </si>
  <si>
    <t xml:space="preserve">ammonium
</t>
  </si>
  <si>
    <t xml:space="preserve">chloride </t>
  </si>
  <si>
    <t xml:space="preserve">fluoride </t>
  </si>
  <si>
    <t>arsenic</t>
  </si>
  <si>
    <t>lead</t>
  </si>
  <si>
    <t>manganese</t>
  </si>
  <si>
    <t>iron</t>
  </si>
  <si>
    <t>e_coli</t>
  </si>
  <si>
    <t>ph</t>
  </si>
  <si>
    <t>do</t>
  </si>
  <si>
    <t>bod</t>
  </si>
  <si>
    <t>cod</t>
  </si>
  <si>
    <t>tss</t>
  </si>
  <si>
    <t>coliform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</si>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</sst>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12"/>
      <name val="Times New Roman"/>
      <family val="1"/>
    </font>
    <font>
      <sz val="12"/>
      <name val="Times New Roman"/>
      <family val="1"/>
      <charset val="163"/>
    </font>
    <font>
      <sz val="12"/>
      <name val="Times New Roman"/>
      <family val="2"/>
      <charset val="163"/>
    </font>
    <font>
      <sz val="10"/>
      <color rgb="FF000000"/>
      <name val="Times New Roman"/>
      <family val="1"/>
      <charset val="238"/>
    </font>
    <font>
      <sz val="13"/>
      <color rgb="FF000000"/>
      <name val="Times New Roman"/>
      <family val="2"/>
    </font>
    <font>
      <sz val="12"/>
      <color rgb="FF000000"/>
      <name val="Times New Roman"/>
      <family val="2"/>
      <charset val="163"/>
    </font>
    <font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165" fontId="4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center" shrinkToFit="1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 shrinkToFit="1"/>
    </xf>
    <xf numFmtId="2" fontId="7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164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center" vertical="top" shrinkToFit="1"/>
    </xf>
    <xf numFmtId="164" fontId="7" fillId="0" borderId="0" xfId="1" applyNumberFormat="1" applyFont="1" applyAlignment="1">
      <alignment horizontal="center" vertical="top" shrinkToFit="1"/>
    </xf>
    <xf numFmtId="0" fontId="3" fillId="0" borderId="0" xfId="1" applyFont="1" applyAlignment="1">
      <alignment horizontal="center" vertical="top" wrapText="1"/>
    </xf>
    <xf numFmtId="165" fontId="7" fillId="0" borderId="0" xfId="1" applyNumberFormat="1" applyFont="1" applyAlignment="1">
      <alignment horizontal="center" vertical="top" shrinkToFit="1"/>
    </xf>
    <xf numFmtId="2" fontId="7" fillId="0" borderId="0" xfId="1" applyNumberFormat="1" applyFont="1" applyAlignment="1">
      <alignment horizontal="center" vertical="top" shrinkToFit="1"/>
    </xf>
    <xf numFmtId="1" fontId="7" fillId="0" borderId="0" xfId="1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</cellXfs>
  <cellStyles count="2">
    <cellStyle name="Normal" xfId="0" builtinId="0"/>
    <cellStyle name="Normal 2" xfId="1" xr:uid="{7C376B12-D16D-48E4-8138-8A21A8CFC8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918A-41DA-4AF1-9F54-49B211507F4F}">
  <dimension ref="A1:R213"/>
  <sheetViews>
    <sheetView tabSelected="1" zoomScaleNormal="100" workbookViewId="0">
      <selection activeCell="U10" sqref="U10"/>
    </sheetView>
  </sheetViews>
  <sheetFormatPr defaultRowHeight="15.75" x14ac:dyDescent="0.25"/>
  <cols>
    <col min="1" max="1" width="6.7109375" bestFit="1" customWidth="1"/>
    <col min="2" max="2" width="6.42578125" bestFit="1" customWidth="1"/>
    <col min="3" max="3" width="9.140625" style="4"/>
    <col min="4" max="4" width="11.85546875" style="4" bestFit="1" customWidth="1"/>
    <col min="5" max="8" width="9.140625" style="4"/>
    <col min="9" max="9" width="11.85546875" style="4" customWidth="1"/>
    <col min="10" max="13" width="9.140625" style="4"/>
    <col min="14" max="14" width="9.42578125" style="4" customWidth="1"/>
    <col min="15" max="17" width="9.140625" style="4"/>
    <col min="18" max="18" width="12.140625" style="3" customWidth="1"/>
  </cols>
  <sheetData>
    <row r="1" spans="1:18" s="1" customFormat="1" ht="30" x14ac:dyDescent="0.25">
      <c r="A1" s="27" t="s">
        <v>53</v>
      </c>
      <c r="B1" s="27" t="s">
        <v>69</v>
      </c>
      <c r="C1" s="28" t="s">
        <v>54</v>
      </c>
      <c r="D1" s="28" t="s">
        <v>55</v>
      </c>
      <c r="E1" s="28" t="s">
        <v>56</v>
      </c>
      <c r="F1" s="28" t="s">
        <v>57</v>
      </c>
      <c r="G1" s="28" t="s">
        <v>58</v>
      </c>
      <c r="H1" s="28" t="s">
        <v>59</v>
      </c>
      <c r="I1" s="28" t="s">
        <v>60</v>
      </c>
      <c r="J1" s="28" t="s">
        <v>61</v>
      </c>
      <c r="K1" s="28" t="s">
        <v>62</v>
      </c>
      <c r="L1" s="28" t="s">
        <v>63</v>
      </c>
      <c r="M1" s="28" t="s">
        <v>64</v>
      </c>
      <c r="N1" s="28" t="s">
        <v>65</v>
      </c>
      <c r="O1" s="28" t="s">
        <v>66</v>
      </c>
      <c r="P1" s="28" t="s">
        <v>67</v>
      </c>
      <c r="Q1" s="28" t="s">
        <v>68</v>
      </c>
      <c r="R1" s="5"/>
    </row>
    <row r="2" spans="1:18" x14ac:dyDescent="0.25">
      <c r="A2" t="s">
        <v>0</v>
      </c>
      <c r="B2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7.0000000000000001E-3</v>
      </c>
      <c r="I2" s="7">
        <v>0</v>
      </c>
      <c r="J2" s="9">
        <v>0.11</v>
      </c>
      <c r="K2" s="10">
        <v>12</v>
      </c>
      <c r="L2" s="9">
        <v>8.3800000000000008</v>
      </c>
      <c r="M2" s="9">
        <v>7.04</v>
      </c>
      <c r="N2" s="7">
        <v>3.3</v>
      </c>
      <c r="O2" s="6">
        <v>7.4</v>
      </c>
      <c r="P2" s="11">
        <v>8</v>
      </c>
      <c r="Q2" s="10">
        <v>61</v>
      </c>
      <c r="R2" s="12"/>
    </row>
    <row r="3" spans="1:18" x14ac:dyDescent="0.25">
      <c r="A3" t="s">
        <v>1</v>
      </c>
      <c r="B3">
        <v>1</v>
      </c>
      <c r="C3" s="8">
        <v>5.3999999999999999E-2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0.09</v>
      </c>
      <c r="K3" s="6">
        <v>6.1</v>
      </c>
      <c r="L3" s="9">
        <v>8.09</v>
      </c>
      <c r="M3" s="9">
        <v>6.82</v>
      </c>
      <c r="N3" s="6">
        <v>3.3</v>
      </c>
      <c r="O3" s="6">
        <v>8.3000000000000007</v>
      </c>
      <c r="P3" s="11">
        <v>41</v>
      </c>
      <c r="Q3" s="10">
        <v>83</v>
      </c>
      <c r="R3" s="12"/>
    </row>
    <row r="4" spans="1:18" x14ac:dyDescent="0.25">
      <c r="A4" t="s">
        <v>3</v>
      </c>
      <c r="B4">
        <v>1</v>
      </c>
      <c r="C4" s="7">
        <v>0</v>
      </c>
      <c r="D4" s="7">
        <v>0</v>
      </c>
      <c r="E4" s="7">
        <v>10</v>
      </c>
      <c r="F4" s="7">
        <v>0</v>
      </c>
      <c r="G4" s="7">
        <v>0</v>
      </c>
      <c r="H4" s="7">
        <v>0</v>
      </c>
      <c r="I4" s="7">
        <v>6.7000000000000004E-2</v>
      </c>
      <c r="J4" s="9">
        <v>0.48</v>
      </c>
      <c r="K4" s="10">
        <v>20</v>
      </c>
      <c r="L4" s="9">
        <v>8.07</v>
      </c>
      <c r="M4" s="6">
        <v>7.5</v>
      </c>
      <c r="N4" s="6">
        <v>4.2</v>
      </c>
      <c r="O4" s="6">
        <v>13.6</v>
      </c>
      <c r="P4" s="11">
        <v>80</v>
      </c>
      <c r="Q4" s="10">
        <v>81</v>
      </c>
      <c r="R4" s="12"/>
    </row>
    <row r="5" spans="1:18" x14ac:dyDescent="0.25">
      <c r="A5" t="s">
        <v>5</v>
      </c>
      <c r="B5">
        <v>1</v>
      </c>
      <c r="C5" s="8">
        <v>1.0999999999999999E-2</v>
      </c>
      <c r="D5" s="7">
        <v>0</v>
      </c>
      <c r="E5" s="10">
        <v>11</v>
      </c>
      <c r="F5" s="7">
        <v>0</v>
      </c>
      <c r="G5" s="7">
        <v>0</v>
      </c>
      <c r="H5" s="7">
        <v>0</v>
      </c>
      <c r="I5" s="7">
        <v>6.7000000000000004E-2</v>
      </c>
      <c r="J5" s="9">
        <v>0.53</v>
      </c>
      <c r="K5" s="10">
        <v>24</v>
      </c>
      <c r="L5" s="9">
        <v>8.1199999999999992</v>
      </c>
      <c r="M5" s="9">
        <v>6.91</v>
      </c>
      <c r="N5" s="6">
        <v>3.9</v>
      </c>
      <c r="O5" s="6">
        <v>16.100000000000001</v>
      </c>
      <c r="P5" s="11">
        <v>56</v>
      </c>
      <c r="Q5" s="10">
        <v>420</v>
      </c>
      <c r="R5" s="12"/>
    </row>
    <row r="6" spans="1:18" x14ac:dyDescent="0.25">
      <c r="A6" t="s">
        <v>4</v>
      </c>
      <c r="B6">
        <v>1</v>
      </c>
      <c r="C6" s="7">
        <v>0.01</v>
      </c>
      <c r="D6" s="7">
        <v>0</v>
      </c>
      <c r="E6" s="7">
        <v>10</v>
      </c>
      <c r="F6" s="8">
        <v>0.106</v>
      </c>
      <c r="G6" s="7">
        <v>0</v>
      </c>
      <c r="H6" s="7">
        <v>0</v>
      </c>
      <c r="I6" s="7">
        <v>6.7000000000000004E-2</v>
      </c>
      <c r="J6" s="6">
        <v>0.5</v>
      </c>
      <c r="K6" s="10">
        <v>46</v>
      </c>
      <c r="L6" s="9">
        <v>8.1199999999999992</v>
      </c>
      <c r="M6" s="9">
        <v>7.92</v>
      </c>
      <c r="N6" s="7">
        <v>3.3</v>
      </c>
      <c r="O6" s="6">
        <v>7.8</v>
      </c>
      <c r="P6" s="11">
        <v>65</v>
      </c>
      <c r="Q6" s="10">
        <v>58</v>
      </c>
      <c r="R6" s="12"/>
    </row>
    <row r="7" spans="1:18" x14ac:dyDescent="0.25">
      <c r="A7" t="s">
        <v>2</v>
      </c>
      <c r="B7">
        <v>1</v>
      </c>
      <c r="C7" s="7">
        <v>0.01</v>
      </c>
      <c r="D7" s="7">
        <v>0</v>
      </c>
      <c r="E7" s="7">
        <v>10</v>
      </c>
      <c r="F7" s="7">
        <v>0</v>
      </c>
      <c r="G7" s="7">
        <v>7.0000000000000001E-3</v>
      </c>
      <c r="H7" s="7">
        <v>7.0000000000000001E-3</v>
      </c>
      <c r="I7" s="8">
        <v>8.3000000000000004E-2</v>
      </c>
      <c r="J7" s="9">
        <v>0.26</v>
      </c>
      <c r="K7" s="10">
        <v>21</v>
      </c>
      <c r="L7" s="9">
        <v>7.6</v>
      </c>
      <c r="M7" s="9">
        <v>7.82</v>
      </c>
      <c r="N7" s="6">
        <v>5.2</v>
      </c>
      <c r="O7" s="6">
        <v>18.5</v>
      </c>
      <c r="P7" s="11">
        <v>50</v>
      </c>
      <c r="Q7" s="10">
        <v>450</v>
      </c>
      <c r="R7" s="12"/>
    </row>
    <row r="8" spans="1:18" x14ac:dyDescent="0.25">
      <c r="A8" t="s">
        <v>6</v>
      </c>
      <c r="B8">
        <v>1</v>
      </c>
      <c r="C8" s="8">
        <v>3.5999999999999997E-2</v>
      </c>
      <c r="D8" s="7">
        <v>0.09</v>
      </c>
      <c r="E8" s="7">
        <v>0</v>
      </c>
      <c r="F8" s="7">
        <v>0</v>
      </c>
      <c r="G8" s="7">
        <v>7.0000000000000001E-3</v>
      </c>
      <c r="H8" s="7">
        <v>0</v>
      </c>
      <c r="I8" s="7">
        <v>6.7000000000000004E-2</v>
      </c>
      <c r="J8" s="9">
        <v>0.67</v>
      </c>
      <c r="K8" s="10">
        <v>63</v>
      </c>
      <c r="L8" s="9">
        <v>7.83</v>
      </c>
      <c r="M8" s="9">
        <v>7.41</v>
      </c>
      <c r="N8" s="6">
        <v>3.8</v>
      </c>
      <c r="O8" s="6">
        <v>9.1999999999999993</v>
      </c>
      <c r="P8" s="11">
        <v>416</v>
      </c>
      <c r="Q8" s="10">
        <v>210</v>
      </c>
      <c r="R8" s="12"/>
    </row>
    <row r="9" spans="1:18" x14ac:dyDescent="0.25">
      <c r="A9" t="s">
        <v>7</v>
      </c>
      <c r="B9">
        <v>1</v>
      </c>
      <c r="C9" s="8">
        <v>1.4E-2</v>
      </c>
      <c r="D9" s="7">
        <v>0.09</v>
      </c>
      <c r="E9" s="7">
        <v>0</v>
      </c>
      <c r="F9" s="7">
        <v>0</v>
      </c>
      <c r="G9" s="7">
        <v>7.0000000000000001E-3</v>
      </c>
      <c r="H9" s="7">
        <v>7.0000000000000001E-3</v>
      </c>
      <c r="I9" s="8">
        <v>0.39400000000000002</v>
      </c>
      <c r="J9" s="9">
        <v>0.91</v>
      </c>
      <c r="K9" s="10">
        <v>70</v>
      </c>
      <c r="L9" s="9">
        <v>8.33</v>
      </c>
      <c r="M9" s="9">
        <v>6.13</v>
      </c>
      <c r="N9" s="7">
        <v>3.3</v>
      </c>
      <c r="O9" s="6">
        <v>7.9</v>
      </c>
      <c r="P9" s="10">
        <v>622</v>
      </c>
      <c r="Q9" s="10">
        <v>56</v>
      </c>
      <c r="R9" s="12"/>
    </row>
    <row r="10" spans="1:18" x14ac:dyDescent="0.25">
      <c r="A10" t="s">
        <v>8</v>
      </c>
      <c r="B10">
        <v>1</v>
      </c>
      <c r="C10" s="8">
        <v>1.4999999999999999E-2</v>
      </c>
      <c r="D10" s="7">
        <v>0</v>
      </c>
      <c r="E10" s="7">
        <v>0</v>
      </c>
      <c r="F10" s="7">
        <v>0</v>
      </c>
      <c r="G10" s="7">
        <v>0</v>
      </c>
      <c r="H10" s="7">
        <v>7.0000000000000001E-3</v>
      </c>
      <c r="I10" s="7">
        <v>6.7000000000000004E-2</v>
      </c>
      <c r="J10" s="9">
        <v>0.19</v>
      </c>
      <c r="K10" s="10">
        <v>17</v>
      </c>
      <c r="L10" s="9">
        <v>8.15</v>
      </c>
      <c r="M10" s="6">
        <v>7.3</v>
      </c>
      <c r="N10" s="6">
        <v>4.5999999999999996</v>
      </c>
      <c r="O10" s="6">
        <v>9.1999999999999993</v>
      </c>
      <c r="P10" s="10">
        <v>89</v>
      </c>
      <c r="Q10" s="10">
        <v>60</v>
      </c>
      <c r="R10" s="13"/>
    </row>
    <row r="11" spans="1:18" x14ac:dyDescent="0.25">
      <c r="A11" t="s">
        <v>9</v>
      </c>
      <c r="B11">
        <v>1</v>
      </c>
      <c r="C11" s="7">
        <v>0.01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6.7000000000000004E-2</v>
      </c>
      <c r="J11" s="7">
        <v>0</v>
      </c>
      <c r="K11" s="10">
        <v>14</v>
      </c>
      <c r="L11" s="6">
        <v>8.1</v>
      </c>
      <c r="M11" s="6">
        <v>7</v>
      </c>
      <c r="N11" s="7">
        <v>3.3</v>
      </c>
      <c r="O11" s="7">
        <v>6.7</v>
      </c>
      <c r="P11" s="10">
        <v>36</v>
      </c>
      <c r="Q11" s="10">
        <v>120</v>
      </c>
      <c r="R11" s="12"/>
    </row>
    <row r="12" spans="1:18" x14ac:dyDescent="0.25">
      <c r="A12" t="s">
        <v>10</v>
      </c>
      <c r="B12">
        <v>1</v>
      </c>
      <c r="C12" s="8">
        <v>1.6E-2</v>
      </c>
      <c r="D12" s="7">
        <v>0</v>
      </c>
      <c r="E12" s="7">
        <v>10</v>
      </c>
      <c r="F12" s="7">
        <v>0</v>
      </c>
      <c r="G12" s="7">
        <v>0</v>
      </c>
      <c r="H12" s="7">
        <v>0</v>
      </c>
      <c r="I12" s="7">
        <v>6.7000000000000004E-2</v>
      </c>
      <c r="J12" s="9">
        <v>0.34</v>
      </c>
      <c r="K12" s="10">
        <v>31</v>
      </c>
      <c r="L12" s="9">
        <v>8.14</v>
      </c>
      <c r="M12" s="9">
        <v>7.65</v>
      </c>
      <c r="N12" s="6">
        <v>3.4</v>
      </c>
      <c r="O12" s="6">
        <v>11.8</v>
      </c>
      <c r="P12" s="10">
        <v>45</v>
      </c>
      <c r="Q12" s="10">
        <v>120</v>
      </c>
      <c r="R12" s="12"/>
    </row>
    <row r="13" spans="1:18" x14ac:dyDescent="0.25">
      <c r="A13" t="s">
        <v>11</v>
      </c>
      <c r="B13">
        <v>1</v>
      </c>
      <c r="C13" s="8">
        <v>0.16400000000000001</v>
      </c>
      <c r="D13" s="7">
        <v>0</v>
      </c>
      <c r="E13" s="7">
        <v>10</v>
      </c>
      <c r="F13" s="9">
        <v>0.28999999999999998</v>
      </c>
      <c r="G13" s="7">
        <v>7.0000000000000001E-3</v>
      </c>
      <c r="H13" s="7">
        <v>0</v>
      </c>
      <c r="I13" s="8">
        <v>0.35299999999999998</v>
      </c>
      <c r="J13" s="9">
        <v>0.69</v>
      </c>
      <c r="K13" s="10">
        <v>26</v>
      </c>
      <c r="L13" s="9">
        <v>8.36</v>
      </c>
      <c r="M13" s="6">
        <v>6.8</v>
      </c>
      <c r="N13" s="6">
        <v>4.4000000000000004</v>
      </c>
      <c r="O13" s="6">
        <v>12.7</v>
      </c>
      <c r="P13" s="10">
        <v>85</v>
      </c>
      <c r="Q13" s="10">
        <v>100</v>
      </c>
      <c r="R13" s="13"/>
    </row>
    <row r="14" spans="1:18" x14ac:dyDescent="0.25">
      <c r="A14" t="s">
        <v>12</v>
      </c>
      <c r="B14">
        <v>1</v>
      </c>
      <c r="C14" s="8">
        <v>4.5999999999999999E-2</v>
      </c>
      <c r="D14" s="8">
        <v>2.1440000000000001</v>
      </c>
      <c r="E14" s="6">
        <v>23.6</v>
      </c>
      <c r="F14" s="7">
        <v>0</v>
      </c>
      <c r="G14" s="7">
        <v>0</v>
      </c>
      <c r="H14" s="7">
        <v>0</v>
      </c>
      <c r="I14" s="8">
        <v>0.14899999999999999</v>
      </c>
      <c r="J14" s="9">
        <v>1.52</v>
      </c>
      <c r="K14" s="10">
        <v>40</v>
      </c>
      <c r="L14" s="6">
        <v>7.2</v>
      </c>
      <c r="M14" s="9">
        <v>7.31</v>
      </c>
      <c r="N14" s="6">
        <v>4.9000000000000004</v>
      </c>
      <c r="O14" s="6">
        <v>15.2</v>
      </c>
      <c r="P14" s="10">
        <v>270</v>
      </c>
      <c r="Q14" s="10">
        <v>400</v>
      </c>
      <c r="R14" s="12"/>
    </row>
    <row r="15" spans="1:18" x14ac:dyDescent="0.25">
      <c r="A15" t="s">
        <v>13</v>
      </c>
      <c r="B15">
        <v>1</v>
      </c>
      <c r="C15" s="9">
        <v>0.04</v>
      </c>
      <c r="D15" s="8">
        <v>0.67400000000000004</v>
      </c>
      <c r="E15" s="10">
        <v>13</v>
      </c>
      <c r="F15" s="8">
        <v>0.16400000000000001</v>
      </c>
      <c r="G15" s="7">
        <v>7.0000000000000001E-3</v>
      </c>
      <c r="H15" s="7">
        <v>0</v>
      </c>
      <c r="I15" s="8">
        <v>0.16800000000000001</v>
      </c>
      <c r="J15" s="9">
        <v>0.39</v>
      </c>
      <c r="K15" s="10">
        <v>20</v>
      </c>
      <c r="L15" s="9">
        <v>7.16</v>
      </c>
      <c r="M15" s="9">
        <v>5.13</v>
      </c>
      <c r="N15" s="6">
        <v>4.3</v>
      </c>
      <c r="O15" s="6">
        <v>17.899999999999999</v>
      </c>
      <c r="P15" s="10">
        <v>45</v>
      </c>
      <c r="Q15" s="10">
        <v>1200</v>
      </c>
      <c r="R15" s="12"/>
    </row>
    <row r="16" spans="1:18" x14ac:dyDescent="0.25">
      <c r="A16" t="s">
        <v>14</v>
      </c>
      <c r="B16">
        <v>1</v>
      </c>
      <c r="C16" s="9">
        <v>0.12</v>
      </c>
      <c r="D16" s="9">
        <v>1.67</v>
      </c>
      <c r="E16" s="10">
        <v>18</v>
      </c>
      <c r="F16" s="8">
        <v>0.129</v>
      </c>
      <c r="G16" s="7">
        <v>7.0000000000000001E-3</v>
      </c>
      <c r="H16" s="7">
        <v>0</v>
      </c>
      <c r="I16" s="8">
        <v>0.158</v>
      </c>
      <c r="J16" s="9">
        <v>1.24</v>
      </c>
      <c r="K16" s="10">
        <v>14</v>
      </c>
      <c r="L16" s="9">
        <v>6.93</v>
      </c>
      <c r="M16" s="9">
        <v>4.07</v>
      </c>
      <c r="N16" s="6">
        <v>8.8000000000000007</v>
      </c>
      <c r="O16" s="6">
        <v>31.3</v>
      </c>
      <c r="P16" s="10">
        <v>27</v>
      </c>
      <c r="Q16" s="10">
        <v>1200</v>
      </c>
      <c r="R16" s="12"/>
    </row>
    <row r="17" spans="1:18" x14ac:dyDescent="0.25">
      <c r="A17" t="s">
        <v>15</v>
      </c>
      <c r="B17">
        <v>1</v>
      </c>
      <c r="C17" s="8">
        <v>2.8000000000000001E-2</v>
      </c>
      <c r="D17" s="9">
        <v>0.62</v>
      </c>
      <c r="E17" s="10">
        <v>50</v>
      </c>
      <c r="F17" s="7">
        <v>0.1</v>
      </c>
      <c r="G17" s="7">
        <v>7.0000000000000001E-3</v>
      </c>
      <c r="H17" s="7">
        <v>0</v>
      </c>
      <c r="I17" s="7">
        <v>6.7000000000000004E-2</v>
      </c>
      <c r="J17" s="6">
        <v>0.3</v>
      </c>
      <c r="K17" s="10">
        <v>4</v>
      </c>
      <c r="L17" s="9">
        <v>7.58</v>
      </c>
      <c r="M17" s="9">
        <v>8.34</v>
      </c>
      <c r="N17" s="6">
        <v>7.8</v>
      </c>
      <c r="O17" s="10">
        <v>17</v>
      </c>
      <c r="P17" s="10">
        <v>8</v>
      </c>
      <c r="Q17" s="10">
        <v>550</v>
      </c>
      <c r="R17" s="12"/>
    </row>
    <row r="18" spans="1:18" x14ac:dyDescent="0.25">
      <c r="A18" t="s">
        <v>16</v>
      </c>
      <c r="B18">
        <v>1</v>
      </c>
      <c r="C18" s="8">
        <v>0.50800000000000001</v>
      </c>
      <c r="D18" s="8">
        <v>0.96899999999999997</v>
      </c>
      <c r="E18" s="10">
        <v>525</v>
      </c>
      <c r="F18" s="7">
        <v>0.1</v>
      </c>
      <c r="G18" s="7">
        <v>7.0000000000000001E-3</v>
      </c>
      <c r="H18" s="7">
        <v>7.0000000000000001E-3</v>
      </c>
      <c r="I18" s="8">
        <v>0.13400000000000001</v>
      </c>
      <c r="J18" s="6">
        <v>1.7</v>
      </c>
      <c r="K18" s="10">
        <v>49</v>
      </c>
      <c r="L18" s="9">
        <v>7.83</v>
      </c>
      <c r="M18" s="9">
        <v>7.41</v>
      </c>
      <c r="N18" s="6">
        <v>7.1</v>
      </c>
      <c r="O18" s="6">
        <v>17.7</v>
      </c>
      <c r="P18" s="10">
        <v>135</v>
      </c>
      <c r="Q18" s="10">
        <v>555</v>
      </c>
      <c r="R18" s="12"/>
    </row>
    <row r="19" spans="1:18" s="2" customFormat="1" x14ac:dyDescent="0.25">
      <c r="A19" t="s">
        <v>17</v>
      </c>
      <c r="B19">
        <v>1</v>
      </c>
      <c r="C19" s="8">
        <v>8.1000000000000003E-2</v>
      </c>
      <c r="D19" s="8">
        <v>0.129</v>
      </c>
      <c r="E19" s="10">
        <v>143</v>
      </c>
      <c r="F19" s="7">
        <v>0</v>
      </c>
      <c r="G19" s="7">
        <v>7.0000000000000001E-3</v>
      </c>
      <c r="H19" s="7">
        <v>0</v>
      </c>
      <c r="I19" s="8">
        <v>0.112</v>
      </c>
      <c r="J19" s="9">
        <v>1.63</v>
      </c>
      <c r="K19" s="10">
        <v>21</v>
      </c>
      <c r="L19" s="9">
        <v>7.57</v>
      </c>
      <c r="M19" s="9">
        <v>7.35</v>
      </c>
      <c r="N19" s="6">
        <v>4.5999999999999996</v>
      </c>
      <c r="O19" s="6">
        <v>17.2</v>
      </c>
      <c r="P19" s="10">
        <v>95</v>
      </c>
      <c r="Q19" s="10">
        <v>680</v>
      </c>
      <c r="R19" s="12"/>
    </row>
    <row r="20" spans="1:18" x14ac:dyDescent="0.25">
      <c r="A20" t="s">
        <v>18</v>
      </c>
      <c r="B20">
        <v>1</v>
      </c>
      <c r="C20" s="8">
        <v>3.1E-2</v>
      </c>
      <c r="D20" s="7">
        <v>0.09</v>
      </c>
      <c r="E20" s="7">
        <v>0</v>
      </c>
      <c r="F20" s="7">
        <v>0</v>
      </c>
      <c r="G20" s="7">
        <v>0</v>
      </c>
      <c r="H20" s="7">
        <v>0</v>
      </c>
      <c r="I20" s="7">
        <v>6.7000000000000004E-2</v>
      </c>
      <c r="J20" s="9">
        <v>0.75</v>
      </c>
      <c r="K20" s="10">
        <v>14</v>
      </c>
      <c r="L20" s="9">
        <v>6.45</v>
      </c>
      <c r="M20" s="9">
        <v>7.87</v>
      </c>
      <c r="N20" s="7">
        <v>3.3</v>
      </c>
      <c r="O20" s="6">
        <v>7.2</v>
      </c>
      <c r="P20" s="10">
        <v>70</v>
      </c>
      <c r="Q20" s="10">
        <v>93</v>
      </c>
      <c r="R20" s="12"/>
    </row>
    <row r="21" spans="1:18" x14ac:dyDescent="0.25">
      <c r="A21" t="s">
        <v>19</v>
      </c>
      <c r="B21">
        <v>1</v>
      </c>
      <c r="C21" s="7">
        <v>0.01</v>
      </c>
      <c r="D21" s="7">
        <v>0</v>
      </c>
      <c r="E21" s="7">
        <v>0</v>
      </c>
      <c r="F21" s="7">
        <v>0</v>
      </c>
      <c r="G21" s="7">
        <v>0</v>
      </c>
      <c r="H21" s="7">
        <v>7.0000000000000001E-3</v>
      </c>
      <c r="I21" s="7">
        <v>0</v>
      </c>
      <c r="J21" s="9">
        <v>0.33</v>
      </c>
      <c r="K21" s="10">
        <v>17</v>
      </c>
      <c r="L21" s="9">
        <v>8.74</v>
      </c>
      <c r="M21" s="9">
        <v>7.44</v>
      </c>
      <c r="N21" s="6">
        <v>3.3</v>
      </c>
      <c r="O21" s="6">
        <v>9</v>
      </c>
      <c r="P21" s="10">
        <v>20</v>
      </c>
      <c r="Q21" s="10">
        <v>82</v>
      </c>
      <c r="R21" s="12"/>
    </row>
    <row r="22" spans="1:18" x14ac:dyDescent="0.25">
      <c r="A22" t="s">
        <v>20</v>
      </c>
      <c r="B22">
        <v>1</v>
      </c>
      <c r="C22" s="9">
        <v>0.11</v>
      </c>
      <c r="D22" s="8">
        <v>0.106</v>
      </c>
      <c r="E22" s="7">
        <v>0</v>
      </c>
      <c r="F22" s="7">
        <v>0</v>
      </c>
      <c r="G22" s="8">
        <v>0.01</v>
      </c>
      <c r="H22" s="7">
        <v>7.0000000000000001E-3</v>
      </c>
      <c r="I22" s="8">
        <v>9.1999999999999998E-2</v>
      </c>
      <c r="J22" s="9">
        <v>0.74</v>
      </c>
      <c r="K22" s="10">
        <v>32</v>
      </c>
      <c r="L22" s="9">
        <v>7.71</v>
      </c>
      <c r="M22" s="9">
        <v>6.47</v>
      </c>
      <c r="N22" s="6">
        <v>3.5</v>
      </c>
      <c r="O22" s="6">
        <v>8.1</v>
      </c>
      <c r="P22" s="10">
        <v>74</v>
      </c>
      <c r="Q22" s="10">
        <v>110</v>
      </c>
      <c r="R22" s="12"/>
    </row>
    <row r="23" spans="1:18" x14ac:dyDescent="0.25">
      <c r="A23" t="s">
        <v>21</v>
      </c>
      <c r="B23">
        <v>1</v>
      </c>
      <c r="C23" s="9">
        <v>0.02</v>
      </c>
      <c r="D23" s="7">
        <v>0.09</v>
      </c>
      <c r="E23" s="7">
        <v>0</v>
      </c>
      <c r="F23" s="7">
        <v>0</v>
      </c>
      <c r="G23" s="7">
        <v>0</v>
      </c>
      <c r="H23" s="7">
        <v>7.0000000000000001E-3</v>
      </c>
      <c r="I23" s="7">
        <v>6.7000000000000004E-2</v>
      </c>
      <c r="J23" s="9">
        <v>0.45</v>
      </c>
      <c r="K23" s="10">
        <v>14</v>
      </c>
      <c r="L23" s="9">
        <v>8.08</v>
      </c>
      <c r="M23" s="9">
        <v>6.96</v>
      </c>
      <c r="N23" s="6">
        <v>5.9</v>
      </c>
      <c r="O23" s="6">
        <v>11.7</v>
      </c>
      <c r="P23" s="10">
        <v>76</v>
      </c>
      <c r="Q23" s="10">
        <v>170</v>
      </c>
      <c r="R23" s="12"/>
    </row>
    <row r="24" spans="1:18" x14ac:dyDescent="0.25">
      <c r="A24" t="s">
        <v>22</v>
      </c>
      <c r="B24">
        <v>1</v>
      </c>
      <c r="C24" s="8">
        <v>2.1999999999999999E-2</v>
      </c>
      <c r="D24" s="7">
        <v>0.09</v>
      </c>
      <c r="E24" s="7">
        <v>10</v>
      </c>
      <c r="F24" s="7">
        <v>0</v>
      </c>
      <c r="G24" s="8">
        <v>8.9999999999999993E-3</v>
      </c>
      <c r="H24" s="7">
        <v>0</v>
      </c>
      <c r="I24" s="8">
        <v>8.2000000000000003E-2</v>
      </c>
      <c r="J24" s="9">
        <v>1.1499999999999999</v>
      </c>
      <c r="K24" s="10">
        <v>41</v>
      </c>
      <c r="L24" s="9">
        <v>7.95</v>
      </c>
      <c r="M24" s="6">
        <v>7.2</v>
      </c>
      <c r="N24" s="6">
        <v>3.8</v>
      </c>
      <c r="O24" s="10">
        <v>10</v>
      </c>
      <c r="P24" s="10">
        <v>116</v>
      </c>
      <c r="Q24" s="10">
        <v>40</v>
      </c>
      <c r="R24" s="12"/>
    </row>
    <row r="25" spans="1:18" x14ac:dyDescent="0.25">
      <c r="A25" t="s">
        <v>23</v>
      </c>
      <c r="B25">
        <v>1</v>
      </c>
      <c r="C25" s="7">
        <v>0.01</v>
      </c>
      <c r="D25" s="7">
        <v>0.09</v>
      </c>
      <c r="E25" s="7">
        <v>0</v>
      </c>
      <c r="F25" s="7">
        <v>0</v>
      </c>
      <c r="G25" s="7">
        <v>0</v>
      </c>
      <c r="H25" s="7">
        <v>7.0000000000000001E-3</v>
      </c>
      <c r="I25" s="7">
        <v>0</v>
      </c>
      <c r="J25" s="9">
        <v>0.25</v>
      </c>
      <c r="K25" s="10">
        <v>11</v>
      </c>
      <c r="L25" s="9">
        <v>8.01</v>
      </c>
      <c r="M25" s="9">
        <v>7.48</v>
      </c>
      <c r="N25" s="6">
        <v>3.6</v>
      </c>
      <c r="O25" s="6">
        <v>9.5</v>
      </c>
      <c r="P25" s="10">
        <v>8</v>
      </c>
      <c r="Q25" s="10">
        <v>110</v>
      </c>
      <c r="R25" s="12"/>
    </row>
    <row r="26" spans="1:18" x14ac:dyDescent="0.25">
      <c r="A26" t="s">
        <v>24</v>
      </c>
      <c r="B26">
        <v>1</v>
      </c>
      <c r="C26" s="8">
        <v>2.8000000000000001E-2</v>
      </c>
      <c r="D26" s="7">
        <v>0.09</v>
      </c>
      <c r="E26" s="7">
        <v>0</v>
      </c>
      <c r="F26" s="7">
        <v>0</v>
      </c>
      <c r="G26" s="7">
        <v>0</v>
      </c>
      <c r="H26" s="7">
        <v>7.0000000000000001E-3</v>
      </c>
      <c r="I26" s="7">
        <v>6.7000000000000004E-2</v>
      </c>
      <c r="J26" s="9">
        <v>0.92</v>
      </c>
      <c r="K26" s="10">
        <v>17</v>
      </c>
      <c r="L26" s="9">
        <v>7.99</v>
      </c>
      <c r="M26" s="9">
        <v>6.61</v>
      </c>
      <c r="N26" s="6">
        <v>5.2</v>
      </c>
      <c r="O26" s="6">
        <v>17.899999999999999</v>
      </c>
      <c r="P26" s="10">
        <v>75</v>
      </c>
      <c r="Q26" s="10">
        <v>140</v>
      </c>
      <c r="R26" s="12"/>
    </row>
    <row r="27" spans="1:18" x14ac:dyDescent="0.25">
      <c r="A27" t="s">
        <v>25</v>
      </c>
      <c r="B27">
        <v>1</v>
      </c>
      <c r="C27" s="9">
        <v>0.03</v>
      </c>
      <c r="D27" s="7">
        <v>0.09</v>
      </c>
      <c r="E27" s="7">
        <v>0</v>
      </c>
      <c r="F27" s="7">
        <v>0</v>
      </c>
      <c r="G27" s="8">
        <v>1.2E-2</v>
      </c>
      <c r="H27" s="7">
        <v>0</v>
      </c>
      <c r="I27" s="8">
        <v>0.10100000000000001</v>
      </c>
      <c r="J27" s="9">
        <v>0.61</v>
      </c>
      <c r="K27" s="10">
        <v>34</v>
      </c>
      <c r="L27" s="6">
        <v>7.8</v>
      </c>
      <c r="M27" s="9">
        <v>6.87</v>
      </c>
      <c r="N27" s="6">
        <v>3.3</v>
      </c>
      <c r="O27" s="10">
        <v>9</v>
      </c>
      <c r="P27" s="10">
        <v>46</v>
      </c>
      <c r="Q27" s="10">
        <v>91</v>
      </c>
      <c r="R27" s="13"/>
    </row>
    <row r="28" spans="1:18" s="2" customFormat="1" x14ac:dyDescent="0.25">
      <c r="A28" t="s">
        <v>26</v>
      </c>
      <c r="B28">
        <v>1</v>
      </c>
      <c r="C28" s="7">
        <v>0.01</v>
      </c>
      <c r="D28" s="7">
        <v>0.09</v>
      </c>
      <c r="E28" s="7">
        <v>0</v>
      </c>
      <c r="F28" s="7">
        <v>0</v>
      </c>
      <c r="G28" s="8">
        <v>0.02</v>
      </c>
      <c r="H28" s="7">
        <v>0</v>
      </c>
      <c r="I28" s="8">
        <v>0.63100000000000001</v>
      </c>
      <c r="J28" s="9">
        <v>0.48</v>
      </c>
      <c r="K28" s="10">
        <v>21</v>
      </c>
      <c r="L28" s="9">
        <v>7.93</v>
      </c>
      <c r="M28" s="9">
        <v>6.88</v>
      </c>
      <c r="N28" s="6">
        <v>3.4</v>
      </c>
      <c r="O28" s="6">
        <v>10.8</v>
      </c>
      <c r="P28" s="10">
        <v>47</v>
      </c>
      <c r="Q28" s="10">
        <v>100</v>
      </c>
      <c r="R28" s="12"/>
    </row>
    <row r="29" spans="1:18" x14ac:dyDescent="0.25">
      <c r="A29" t="s">
        <v>27</v>
      </c>
      <c r="B29">
        <v>1</v>
      </c>
      <c r="C29" s="8">
        <v>1.4999999999999999E-2</v>
      </c>
      <c r="D29" s="7">
        <v>0.09</v>
      </c>
      <c r="E29" s="10">
        <v>18</v>
      </c>
      <c r="F29" s="7">
        <v>0</v>
      </c>
      <c r="G29" s="7">
        <v>0</v>
      </c>
      <c r="H29" s="7">
        <v>0</v>
      </c>
      <c r="I29" s="8">
        <v>0.13900000000000001</v>
      </c>
      <c r="J29" s="9">
        <v>0.94</v>
      </c>
      <c r="K29" s="10">
        <v>70</v>
      </c>
      <c r="L29" s="9">
        <v>8.14</v>
      </c>
      <c r="M29" s="9">
        <v>6.91</v>
      </c>
      <c r="N29" s="6">
        <v>3.3</v>
      </c>
      <c r="O29" s="6">
        <v>9.4</v>
      </c>
      <c r="P29" s="10">
        <v>290</v>
      </c>
      <c r="Q29" s="10">
        <v>200</v>
      </c>
      <c r="R29" s="12"/>
    </row>
    <row r="30" spans="1:18" x14ac:dyDescent="0.25">
      <c r="A30" t="s">
        <v>28</v>
      </c>
      <c r="B30">
        <v>1</v>
      </c>
      <c r="C30" s="7">
        <v>0</v>
      </c>
      <c r="D30" s="7">
        <v>0</v>
      </c>
      <c r="E30" s="10">
        <v>22</v>
      </c>
      <c r="F30" s="7">
        <v>0</v>
      </c>
      <c r="G30" s="7">
        <v>7.0000000000000001E-3</v>
      </c>
      <c r="H30" s="7">
        <v>0</v>
      </c>
      <c r="I30" s="8">
        <v>0.16300000000000001</v>
      </c>
      <c r="J30" s="9">
        <v>0.28000000000000003</v>
      </c>
      <c r="K30" s="10">
        <v>14</v>
      </c>
      <c r="L30" s="9">
        <v>7.45</v>
      </c>
      <c r="M30" s="6">
        <v>4.9000000000000004</v>
      </c>
      <c r="N30" s="6">
        <v>5.5</v>
      </c>
      <c r="O30" s="10">
        <v>14</v>
      </c>
      <c r="P30" s="10">
        <v>16</v>
      </c>
      <c r="Q30" s="10">
        <v>600</v>
      </c>
      <c r="R30" s="12"/>
    </row>
    <row r="31" spans="1:18" x14ac:dyDescent="0.25">
      <c r="A31" t="s">
        <v>29</v>
      </c>
      <c r="B31">
        <v>1</v>
      </c>
      <c r="C31" s="8">
        <v>0.17599999999999999</v>
      </c>
      <c r="D31" s="8">
        <v>0.32500000000000001</v>
      </c>
      <c r="E31" s="10">
        <v>22</v>
      </c>
      <c r="F31" s="7">
        <v>0.1</v>
      </c>
      <c r="G31" s="7">
        <v>0</v>
      </c>
      <c r="H31" s="7">
        <v>0</v>
      </c>
      <c r="I31" s="8">
        <v>0.20599999999999999</v>
      </c>
      <c r="J31" s="9">
        <v>0.96</v>
      </c>
      <c r="K31" s="10">
        <v>14</v>
      </c>
      <c r="L31" s="9">
        <v>7.55</v>
      </c>
      <c r="M31" s="9">
        <v>5.62</v>
      </c>
      <c r="N31" s="6">
        <v>5.5</v>
      </c>
      <c r="O31" s="6">
        <v>16.3</v>
      </c>
      <c r="P31" s="10">
        <v>23</v>
      </c>
      <c r="Q31" s="10">
        <v>400</v>
      </c>
      <c r="R31" s="12"/>
    </row>
    <row r="32" spans="1:18" x14ac:dyDescent="0.25">
      <c r="A32" t="s">
        <v>30</v>
      </c>
      <c r="B32">
        <v>1</v>
      </c>
      <c r="C32" s="8">
        <v>7.3999999999999996E-2</v>
      </c>
      <c r="D32" s="8">
        <v>0.246</v>
      </c>
      <c r="E32" s="6">
        <v>24.3</v>
      </c>
      <c r="F32" s="7">
        <v>0</v>
      </c>
      <c r="G32" s="7">
        <v>0</v>
      </c>
      <c r="H32" s="7">
        <v>0</v>
      </c>
      <c r="I32" s="7">
        <v>6.7000000000000004E-2</v>
      </c>
      <c r="J32" s="7">
        <v>0.09</v>
      </c>
      <c r="K32" s="6">
        <v>9.1999999999999993</v>
      </c>
      <c r="L32" s="9">
        <v>9.11</v>
      </c>
      <c r="M32" s="6">
        <v>9.1</v>
      </c>
      <c r="N32" s="10">
        <v>5</v>
      </c>
      <c r="O32" s="6">
        <v>13.1</v>
      </c>
      <c r="P32" s="10">
        <v>5</v>
      </c>
      <c r="Q32" s="10">
        <v>580</v>
      </c>
      <c r="R32" s="13"/>
    </row>
    <row r="33" spans="1:18" x14ac:dyDescent="0.25">
      <c r="A33" t="s">
        <v>31</v>
      </c>
      <c r="B33">
        <v>1</v>
      </c>
      <c r="C33" s="8">
        <v>0.23300000000000001</v>
      </c>
      <c r="D33" s="7">
        <v>0.09</v>
      </c>
      <c r="E33" s="10">
        <v>3049</v>
      </c>
      <c r="F33" s="8">
        <v>0.20399999999999999</v>
      </c>
      <c r="G33" s="7">
        <v>7.0000000000000001E-3</v>
      </c>
      <c r="H33" s="7">
        <v>0</v>
      </c>
      <c r="I33" s="8">
        <v>0.72799999999999998</v>
      </c>
      <c r="J33" s="9">
        <v>0.16</v>
      </c>
      <c r="K33" s="10">
        <v>22</v>
      </c>
      <c r="L33" s="9">
        <v>7.69</v>
      </c>
      <c r="M33" s="9">
        <v>6.67</v>
      </c>
      <c r="N33" s="6">
        <v>3.8</v>
      </c>
      <c r="O33" s="6">
        <v>10.3</v>
      </c>
      <c r="P33" s="10">
        <v>9</v>
      </c>
      <c r="Q33" s="10">
        <v>1000</v>
      </c>
      <c r="R33" s="12"/>
    </row>
    <row r="34" spans="1:18" x14ac:dyDescent="0.25">
      <c r="A34" t="s">
        <v>32</v>
      </c>
      <c r="B34">
        <v>1</v>
      </c>
      <c r="C34" s="8">
        <v>0.111</v>
      </c>
      <c r="D34" s="7">
        <v>0.09</v>
      </c>
      <c r="E34" s="10">
        <v>5890</v>
      </c>
      <c r="F34" s="8">
        <v>0.49099999999999999</v>
      </c>
      <c r="G34" s="7">
        <v>0</v>
      </c>
      <c r="H34" s="7">
        <v>0</v>
      </c>
      <c r="I34" s="6">
        <v>0.5</v>
      </c>
      <c r="J34" s="7">
        <v>0.09</v>
      </c>
      <c r="K34" s="10">
        <v>26</v>
      </c>
      <c r="L34" s="9">
        <v>7.77</v>
      </c>
      <c r="M34" s="9">
        <v>7.26</v>
      </c>
      <c r="N34" s="6">
        <v>4.3</v>
      </c>
      <c r="O34" s="6">
        <v>12.2</v>
      </c>
      <c r="P34" s="10">
        <v>7</v>
      </c>
      <c r="Q34" s="10">
        <v>1300</v>
      </c>
      <c r="R34" s="12"/>
    </row>
    <row r="35" spans="1:18" x14ac:dyDescent="0.25">
      <c r="A35" t="s">
        <v>33</v>
      </c>
      <c r="B35">
        <v>1</v>
      </c>
      <c r="C35" s="8">
        <v>1.0999999999999999E-2</v>
      </c>
      <c r="D35" s="7">
        <v>0</v>
      </c>
      <c r="E35" s="10">
        <v>54</v>
      </c>
      <c r="F35" s="7">
        <v>0.1</v>
      </c>
      <c r="G35" s="7">
        <v>0</v>
      </c>
      <c r="H35" s="7">
        <v>0</v>
      </c>
      <c r="I35" s="8">
        <v>1.038</v>
      </c>
      <c r="J35" s="9">
        <v>1.37</v>
      </c>
      <c r="K35" s="10">
        <v>27</v>
      </c>
      <c r="L35" s="6">
        <v>7.6</v>
      </c>
      <c r="M35" s="9">
        <v>5.39</v>
      </c>
      <c r="N35" s="10">
        <v>7</v>
      </c>
      <c r="O35" s="6">
        <v>15.9</v>
      </c>
      <c r="P35" s="10">
        <v>100</v>
      </c>
      <c r="Q35" s="10">
        <v>1400</v>
      </c>
      <c r="R35" s="12"/>
    </row>
    <row r="36" spans="1:18" x14ac:dyDescent="0.25">
      <c r="A36" t="s">
        <v>34</v>
      </c>
      <c r="B36">
        <v>1</v>
      </c>
      <c r="C36" s="7">
        <v>0.01</v>
      </c>
      <c r="D36" s="7">
        <v>0</v>
      </c>
      <c r="E36" s="10">
        <v>28</v>
      </c>
      <c r="F36" s="8">
        <v>0.106</v>
      </c>
      <c r="G36" s="7">
        <v>7.0000000000000001E-3</v>
      </c>
      <c r="H36" s="7">
        <v>0</v>
      </c>
      <c r="I36" s="9">
        <v>0.62</v>
      </c>
      <c r="J36" s="9">
        <v>0.86</v>
      </c>
      <c r="K36" s="10">
        <v>17</v>
      </c>
      <c r="L36" s="9">
        <v>7.53</v>
      </c>
      <c r="M36" s="9">
        <v>4.57</v>
      </c>
      <c r="N36" s="6">
        <v>7.9</v>
      </c>
      <c r="O36" s="6">
        <v>17.8</v>
      </c>
      <c r="P36" s="10">
        <v>47</v>
      </c>
      <c r="Q36" s="10">
        <v>780</v>
      </c>
      <c r="R36" s="12"/>
    </row>
    <row r="37" spans="1:18" x14ac:dyDescent="0.25">
      <c r="A37" t="s">
        <v>35</v>
      </c>
      <c r="B37">
        <v>1</v>
      </c>
      <c r="C37" s="7">
        <v>0.01</v>
      </c>
      <c r="D37" s="7">
        <v>0</v>
      </c>
      <c r="E37" s="10">
        <v>23</v>
      </c>
      <c r="F37" s="7">
        <v>0</v>
      </c>
      <c r="G37" s="7">
        <v>7.0000000000000001E-3</v>
      </c>
      <c r="H37" s="7">
        <v>7.0000000000000001E-3</v>
      </c>
      <c r="I37" s="8">
        <v>0.27900000000000003</v>
      </c>
      <c r="J37" s="9">
        <v>0.93</v>
      </c>
      <c r="K37" s="10">
        <v>33</v>
      </c>
      <c r="L37" s="9">
        <v>7.58</v>
      </c>
      <c r="M37" s="9">
        <v>4.4000000000000004</v>
      </c>
      <c r="N37" s="10">
        <v>6</v>
      </c>
      <c r="O37" s="6">
        <v>16.8</v>
      </c>
      <c r="P37" s="10">
        <v>41</v>
      </c>
      <c r="Q37" s="10">
        <v>830</v>
      </c>
      <c r="R37" s="13"/>
    </row>
    <row r="38" spans="1:18" x14ac:dyDescent="0.25">
      <c r="A38" t="s">
        <v>36</v>
      </c>
      <c r="B38">
        <v>1</v>
      </c>
      <c r="C38" s="8">
        <v>0.432</v>
      </c>
      <c r="D38" s="8">
        <v>0.60799999999999998</v>
      </c>
      <c r="E38" s="10">
        <v>550</v>
      </c>
      <c r="F38" s="8">
        <v>0.14599999999999999</v>
      </c>
      <c r="G38" s="8">
        <v>3.1E-2</v>
      </c>
      <c r="H38" s="7">
        <v>7.0000000000000001E-3</v>
      </c>
      <c r="I38" s="8">
        <v>1.212</v>
      </c>
      <c r="J38" s="6">
        <v>9.3000000000000007</v>
      </c>
      <c r="K38" s="10">
        <v>790</v>
      </c>
      <c r="L38" s="9">
        <v>7.29</v>
      </c>
      <c r="M38" s="9">
        <v>2.17</v>
      </c>
      <c r="N38" s="6">
        <v>9.1</v>
      </c>
      <c r="O38" s="6">
        <v>21.5</v>
      </c>
      <c r="P38" s="10">
        <v>75</v>
      </c>
      <c r="Q38" s="10">
        <v>1200</v>
      </c>
      <c r="R38" s="12"/>
    </row>
    <row r="39" spans="1:18" x14ac:dyDescent="0.25">
      <c r="A39" t="s">
        <v>37</v>
      </c>
      <c r="B39">
        <v>1</v>
      </c>
      <c r="C39" s="9">
        <v>0.38</v>
      </c>
      <c r="D39" s="9">
        <v>1.87</v>
      </c>
      <c r="E39" s="10">
        <v>82</v>
      </c>
      <c r="F39" s="7">
        <v>0</v>
      </c>
      <c r="G39" s="8">
        <v>8.0000000000000002E-3</v>
      </c>
      <c r="H39" s="7">
        <v>7.0000000000000001E-3</v>
      </c>
      <c r="I39" s="8">
        <v>0.97099999999999997</v>
      </c>
      <c r="J39" s="9">
        <v>1.57</v>
      </c>
      <c r="K39" s="10">
        <v>110</v>
      </c>
      <c r="L39" s="9">
        <v>7.67</v>
      </c>
      <c r="M39" s="9">
        <v>5.54</v>
      </c>
      <c r="N39" s="6">
        <v>5.8</v>
      </c>
      <c r="O39" s="6">
        <v>20.9</v>
      </c>
      <c r="P39" s="10">
        <v>390</v>
      </c>
      <c r="Q39" s="10">
        <v>810</v>
      </c>
      <c r="R39" s="12"/>
    </row>
    <row r="40" spans="1:18" x14ac:dyDescent="0.25">
      <c r="A40" t="s">
        <v>38</v>
      </c>
      <c r="B40">
        <v>1</v>
      </c>
      <c r="C40" s="8">
        <v>5.8000000000000003E-2</v>
      </c>
      <c r="D40" s="8">
        <v>0.76400000000000001</v>
      </c>
      <c r="E40" s="6">
        <v>84.4</v>
      </c>
      <c r="F40" s="8">
        <v>0.64700000000000002</v>
      </c>
      <c r="G40" s="7">
        <v>7.0000000000000001E-3</v>
      </c>
      <c r="H40" s="7">
        <v>0</v>
      </c>
      <c r="I40" s="8">
        <v>0.40699999999999997</v>
      </c>
      <c r="J40" s="9">
        <v>0.42</v>
      </c>
      <c r="K40" s="10">
        <v>13</v>
      </c>
      <c r="L40" s="9">
        <v>7.53</v>
      </c>
      <c r="M40" s="9">
        <v>6.46</v>
      </c>
      <c r="N40" s="6">
        <v>6.8</v>
      </c>
      <c r="O40" s="10">
        <v>20</v>
      </c>
      <c r="P40" s="10">
        <v>9</v>
      </c>
      <c r="Q40" s="10">
        <v>830</v>
      </c>
      <c r="R40" s="12"/>
    </row>
    <row r="41" spans="1:18" x14ac:dyDescent="0.25">
      <c r="A41" t="s">
        <v>39</v>
      </c>
      <c r="B41">
        <v>1</v>
      </c>
      <c r="C41" s="8">
        <v>6.2E-2</v>
      </c>
      <c r="D41" s="8">
        <v>0.17699999999999999</v>
      </c>
      <c r="E41" s="10">
        <v>22</v>
      </c>
      <c r="F41" s="8">
        <v>0.192</v>
      </c>
      <c r="G41" s="7">
        <v>7.0000000000000001E-3</v>
      </c>
      <c r="H41" s="7">
        <v>0</v>
      </c>
      <c r="I41" s="8">
        <v>0.376</v>
      </c>
      <c r="J41" s="9">
        <v>1.18</v>
      </c>
      <c r="K41" s="10">
        <v>17</v>
      </c>
      <c r="L41" s="9">
        <v>7.76</v>
      </c>
      <c r="M41" s="9">
        <v>6.27</v>
      </c>
      <c r="N41" s="6">
        <v>8.9</v>
      </c>
      <c r="O41" s="6">
        <v>23.6</v>
      </c>
      <c r="P41" s="10">
        <v>25</v>
      </c>
      <c r="Q41" s="10">
        <v>1200</v>
      </c>
      <c r="R41" s="12"/>
    </row>
    <row r="42" spans="1:18" s="2" customFormat="1" x14ac:dyDescent="0.25">
      <c r="A42" t="s">
        <v>40</v>
      </c>
      <c r="B42">
        <v>1</v>
      </c>
      <c r="C42" s="8">
        <v>0.127</v>
      </c>
      <c r="D42" s="8">
        <v>0.16800000000000001</v>
      </c>
      <c r="E42" s="10">
        <v>264</v>
      </c>
      <c r="F42" s="8">
        <v>0.73199999999999998</v>
      </c>
      <c r="G42" s="7">
        <v>7.0000000000000001E-3</v>
      </c>
      <c r="H42" s="7">
        <v>0</v>
      </c>
      <c r="I42" s="9">
        <v>0.25</v>
      </c>
      <c r="J42" s="9">
        <v>0.33</v>
      </c>
      <c r="K42" s="10">
        <v>11</v>
      </c>
      <c r="L42" s="9">
        <v>8.33</v>
      </c>
      <c r="M42" s="9">
        <v>7.57</v>
      </c>
      <c r="N42" s="6">
        <v>8.6999999999999993</v>
      </c>
      <c r="O42" s="6">
        <v>18.100000000000001</v>
      </c>
      <c r="P42" s="10">
        <v>6</v>
      </c>
      <c r="Q42" s="10">
        <v>830</v>
      </c>
      <c r="R42" s="12"/>
    </row>
    <row r="43" spans="1:18" x14ac:dyDescent="0.25">
      <c r="A43" t="s">
        <v>41</v>
      </c>
      <c r="B43">
        <v>1</v>
      </c>
      <c r="C43" s="7">
        <v>0.01</v>
      </c>
      <c r="D43" s="7">
        <v>0.09</v>
      </c>
      <c r="E43" s="10">
        <v>36</v>
      </c>
      <c r="F43" s="7">
        <v>0</v>
      </c>
      <c r="G43" s="7">
        <v>0</v>
      </c>
      <c r="H43" s="7">
        <v>7.0000000000000001E-3</v>
      </c>
      <c r="I43" s="7">
        <v>6.7000000000000004E-2</v>
      </c>
      <c r="J43" s="7">
        <v>0.09</v>
      </c>
      <c r="K43" s="10">
        <v>11</v>
      </c>
      <c r="L43" s="9">
        <v>8.77</v>
      </c>
      <c r="M43" s="9">
        <v>8.0299999999999994</v>
      </c>
      <c r="N43" s="6">
        <v>5.6</v>
      </c>
      <c r="O43" s="10">
        <v>14</v>
      </c>
      <c r="P43" s="10">
        <v>7</v>
      </c>
      <c r="Q43" s="10">
        <v>610</v>
      </c>
      <c r="R43" s="12"/>
    </row>
    <row r="44" spans="1:18" x14ac:dyDescent="0.25">
      <c r="A44" t="s">
        <v>42</v>
      </c>
      <c r="B44">
        <v>1</v>
      </c>
      <c r="C44" s="7">
        <v>0</v>
      </c>
      <c r="D44" s="7">
        <v>0</v>
      </c>
      <c r="E44" s="7">
        <v>10</v>
      </c>
      <c r="F44" s="7">
        <v>0.1</v>
      </c>
      <c r="G44" s="7">
        <v>7.0000000000000001E-3</v>
      </c>
      <c r="H44" s="7">
        <v>0</v>
      </c>
      <c r="I44" s="7">
        <v>6.7000000000000004E-2</v>
      </c>
      <c r="J44" s="7">
        <v>0.09</v>
      </c>
      <c r="K44" s="10">
        <v>12</v>
      </c>
      <c r="L44" s="9">
        <v>8.6</v>
      </c>
      <c r="M44" s="9">
        <v>7.32</v>
      </c>
      <c r="N44" s="6">
        <v>4.5</v>
      </c>
      <c r="O44" s="6">
        <v>13.5</v>
      </c>
      <c r="P44" s="10">
        <v>7</v>
      </c>
      <c r="Q44" s="10">
        <v>170</v>
      </c>
      <c r="R44" s="12"/>
    </row>
    <row r="45" spans="1:18" x14ac:dyDescent="0.25">
      <c r="A45" t="s">
        <v>43</v>
      </c>
      <c r="B45">
        <v>1</v>
      </c>
      <c r="C45" s="7">
        <v>0</v>
      </c>
      <c r="D45" s="7">
        <v>0.09</v>
      </c>
      <c r="E45" s="7">
        <v>10</v>
      </c>
      <c r="F45" s="7">
        <v>0.1</v>
      </c>
      <c r="G45" s="7">
        <v>0</v>
      </c>
      <c r="H45" s="7">
        <v>0</v>
      </c>
      <c r="I45" s="7">
        <v>6.7000000000000004E-2</v>
      </c>
      <c r="J45" s="9">
        <v>0.09</v>
      </c>
      <c r="K45" s="10">
        <v>24</v>
      </c>
      <c r="L45" s="9">
        <v>8.18</v>
      </c>
      <c r="M45" s="9">
        <v>7.43</v>
      </c>
      <c r="N45" s="6">
        <v>3.5</v>
      </c>
      <c r="O45" s="6">
        <v>13.6</v>
      </c>
      <c r="P45" s="10">
        <v>5</v>
      </c>
      <c r="Q45" s="10">
        <v>120</v>
      </c>
      <c r="R45" s="12"/>
    </row>
    <row r="46" spans="1:18" x14ac:dyDescent="0.25">
      <c r="A46" t="s">
        <v>44</v>
      </c>
      <c r="B46">
        <v>1</v>
      </c>
      <c r="C46" s="8">
        <v>0.61599999999999999</v>
      </c>
      <c r="D46" s="8">
        <v>0.32100000000000001</v>
      </c>
      <c r="E46" s="7">
        <v>10</v>
      </c>
      <c r="F46" s="7">
        <v>0.1</v>
      </c>
      <c r="G46" s="7">
        <v>0</v>
      </c>
      <c r="H46" s="7">
        <v>0</v>
      </c>
      <c r="I46" s="7">
        <v>6.7000000000000004E-2</v>
      </c>
      <c r="J46" s="7">
        <v>0.09</v>
      </c>
      <c r="K46" s="10">
        <v>11</v>
      </c>
      <c r="L46" s="9">
        <v>9.01</v>
      </c>
      <c r="M46" s="9">
        <v>10.47</v>
      </c>
      <c r="N46" s="6">
        <v>4.3</v>
      </c>
      <c r="O46" s="6">
        <v>17.899999999999999</v>
      </c>
      <c r="P46" s="10">
        <v>7</v>
      </c>
      <c r="Q46" s="10">
        <v>280</v>
      </c>
      <c r="R46" s="12"/>
    </row>
    <row r="47" spans="1:18" x14ac:dyDescent="0.25">
      <c r="A47" t="s">
        <v>45</v>
      </c>
      <c r="B47">
        <v>1</v>
      </c>
      <c r="C47" s="7">
        <v>0</v>
      </c>
      <c r="D47" s="8">
        <v>0.13100000000000001</v>
      </c>
      <c r="E47" s="7">
        <v>0</v>
      </c>
      <c r="F47" s="7">
        <v>0</v>
      </c>
      <c r="G47" s="7">
        <v>7.0000000000000001E-3</v>
      </c>
      <c r="H47" s="7">
        <v>0</v>
      </c>
      <c r="I47" s="7">
        <v>0</v>
      </c>
      <c r="J47" s="8">
        <v>0.10299999999999999</v>
      </c>
      <c r="K47" s="10">
        <v>13</v>
      </c>
      <c r="L47" s="9">
        <v>9.36</v>
      </c>
      <c r="M47" s="9">
        <v>9.43</v>
      </c>
      <c r="N47" s="6">
        <v>6.4</v>
      </c>
      <c r="O47" s="6">
        <v>9.9</v>
      </c>
      <c r="P47" s="7">
        <v>5</v>
      </c>
      <c r="Q47" s="10">
        <v>480</v>
      </c>
      <c r="R47" s="12"/>
    </row>
    <row r="48" spans="1:18" x14ac:dyDescent="0.25">
      <c r="A48" t="s">
        <v>46</v>
      </c>
      <c r="B48">
        <v>1</v>
      </c>
      <c r="C48" s="7">
        <v>0.01</v>
      </c>
      <c r="D48" s="7">
        <v>0</v>
      </c>
      <c r="E48" s="6">
        <v>23.4</v>
      </c>
      <c r="F48" s="7">
        <v>0</v>
      </c>
      <c r="G48" s="7">
        <v>7.0000000000000001E-3</v>
      </c>
      <c r="H48" s="7">
        <v>0</v>
      </c>
      <c r="I48" s="7">
        <v>6.7000000000000004E-2</v>
      </c>
      <c r="J48" s="9">
        <v>0.36</v>
      </c>
      <c r="K48" s="10">
        <v>14</v>
      </c>
      <c r="L48" s="9">
        <v>8.07</v>
      </c>
      <c r="M48" s="9">
        <v>7.64</v>
      </c>
      <c r="N48" s="6">
        <v>10.1</v>
      </c>
      <c r="O48" s="6">
        <v>39.299999999999997</v>
      </c>
      <c r="P48" s="10">
        <v>16</v>
      </c>
      <c r="Q48" s="10">
        <v>1300</v>
      </c>
      <c r="R48" s="12"/>
    </row>
    <row r="49" spans="1:18" x14ac:dyDescent="0.25">
      <c r="A49" t="s">
        <v>47</v>
      </c>
      <c r="B49">
        <v>1</v>
      </c>
      <c r="C49" s="8">
        <v>0.45200000000000001</v>
      </c>
      <c r="D49" s="8">
        <v>1.468</v>
      </c>
      <c r="E49" s="10">
        <v>21</v>
      </c>
      <c r="F49" s="7">
        <v>0</v>
      </c>
      <c r="G49" s="7">
        <v>7.0000000000000001E-3</v>
      </c>
      <c r="H49" s="7">
        <v>0</v>
      </c>
      <c r="I49" s="8">
        <v>0.13100000000000001</v>
      </c>
      <c r="J49" s="6">
        <v>0.5</v>
      </c>
      <c r="K49" s="10">
        <v>170</v>
      </c>
      <c r="L49" s="6">
        <v>7.4</v>
      </c>
      <c r="M49" s="6">
        <v>3.2</v>
      </c>
      <c r="N49" s="6">
        <v>7.9</v>
      </c>
      <c r="O49" s="6">
        <v>29.5</v>
      </c>
      <c r="P49" s="10">
        <v>78</v>
      </c>
      <c r="Q49" s="10">
        <v>1100</v>
      </c>
      <c r="R49" s="13"/>
    </row>
    <row r="50" spans="1:18" x14ac:dyDescent="0.25">
      <c r="A50" t="s">
        <v>48</v>
      </c>
      <c r="B50">
        <v>1</v>
      </c>
      <c r="C50" s="8">
        <v>9.6000000000000002E-2</v>
      </c>
      <c r="D50" s="6">
        <v>15.4</v>
      </c>
      <c r="E50" s="6">
        <v>35.799999999999997</v>
      </c>
      <c r="F50" s="7">
        <v>0.1</v>
      </c>
      <c r="G50" s="7">
        <v>7.0000000000000001E-3</v>
      </c>
      <c r="H50" s="7">
        <v>0</v>
      </c>
      <c r="I50" s="8">
        <v>0.13300000000000001</v>
      </c>
      <c r="J50" s="9">
        <v>0.27</v>
      </c>
      <c r="K50" s="10">
        <v>26</v>
      </c>
      <c r="L50" s="9">
        <v>7.68</v>
      </c>
      <c r="M50" s="6">
        <v>3.9</v>
      </c>
      <c r="N50" s="10">
        <v>12</v>
      </c>
      <c r="O50" s="10">
        <v>40</v>
      </c>
      <c r="P50" s="10">
        <v>6</v>
      </c>
      <c r="Q50" s="10">
        <v>1700</v>
      </c>
      <c r="R50" s="13"/>
    </row>
    <row r="51" spans="1:18" x14ac:dyDescent="0.25">
      <c r="A51" t="s">
        <v>49</v>
      </c>
      <c r="B51">
        <v>1</v>
      </c>
      <c r="C51" s="7">
        <v>0.01</v>
      </c>
      <c r="D51" s="6">
        <v>10.6</v>
      </c>
      <c r="E51" s="10">
        <v>56</v>
      </c>
      <c r="F51" s="8">
        <v>1.0609999999999999</v>
      </c>
      <c r="G51" s="8">
        <v>3.3000000000000002E-2</v>
      </c>
      <c r="H51" s="7">
        <v>7.0000000000000001E-3</v>
      </c>
      <c r="I51" s="9">
        <v>0.89</v>
      </c>
      <c r="J51" s="9">
        <v>1.28</v>
      </c>
      <c r="K51" s="10">
        <v>12</v>
      </c>
      <c r="L51" s="9">
        <v>7.11</v>
      </c>
      <c r="M51" s="9">
        <v>2.77</v>
      </c>
      <c r="N51" s="6">
        <v>12.6</v>
      </c>
      <c r="O51" s="6">
        <v>39.299999999999997</v>
      </c>
      <c r="P51" s="10">
        <v>23</v>
      </c>
      <c r="Q51" s="10">
        <v>1400</v>
      </c>
      <c r="R51" s="12"/>
    </row>
    <row r="52" spans="1:18" x14ac:dyDescent="0.25">
      <c r="A52" t="s">
        <v>50</v>
      </c>
      <c r="B52">
        <v>1</v>
      </c>
      <c r="C52" s="8">
        <v>0.11600000000000001</v>
      </c>
      <c r="D52" s="9">
        <v>15.52</v>
      </c>
      <c r="E52" s="6">
        <v>30.5</v>
      </c>
      <c r="F52" s="7">
        <v>0</v>
      </c>
      <c r="G52" s="7">
        <v>7.0000000000000001E-3</v>
      </c>
      <c r="H52" s="7">
        <v>0</v>
      </c>
      <c r="I52" s="8">
        <v>0.183</v>
      </c>
      <c r="J52" s="9">
        <v>0.53</v>
      </c>
      <c r="K52" s="10">
        <v>79</v>
      </c>
      <c r="L52" s="9">
        <v>7.39</v>
      </c>
      <c r="M52" s="9">
        <v>3.27</v>
      </c>
      <c r="N52" s="6">
        <v>9.9</v>
      </c>
      <c r="O52" s="6">
        <v>33.1</v>
      </c>
      <c r="P52" s="10">
        <v>12</v>
      </c>
      <c r="Q52" s="10">
        <v>2100</v>
      </c>
      <c r="R52" s="12"/>
    </row>
    <row r="53" spans="1:18" x14ac:dyDescent="0.25">
      <c r="A53" t="s">
        <v>51</v>
      </c>
      <c r="B53">
        <v>1</v>
      </c>
      <c r="C53" s="8">
        <v>0.41399999999999998</v>
      </c>
      <c r="D53" s="9">
        <v>9.94</v>
      </c>
      <c r="E53" s="10">
        <v>57</v>
      </c>
      <c r="F53" s="7">
        <v>0</v>
      </c>
      <c r="G53" s="7">
        <v>7.0000000000000001E-3</v>
      </c>
      <c r="H53" s="7">
        <v>0</v>
      </c>
      <c r="I53" s="8">
        <v>0.23599999999999999</v>
      </c>
      <c r="J53" s="9">
        <v>0.55000000000000004</v>
      </c>
      <c r="K53" s="10">
        <v>120</v>
      </c>
      <c r="L53" s="9">
        <v>7.72</v>
      </c>
      <c r="M53" s="9">
        <v>4.01</v>
      </c>
      <c r="N53" s="6">
        <v>8.3000000000000007</v>
      </c>
      <c r="O53" s="6">
        <v>29.5</v>
      </c>
      <c r="P53" s="10">
        <v>26</v>
      </c>
      <c r="Q53" s="10">
        <v>1700</v>
      </c>
      <c r="R53" s="12"/>
    </row>
    <row r="54" spans="1:18" x14ac:dyDescent="0.25">
      <c r="A54" t="s">
        <v>52</v>
      </c>
      <c r="B54">
        <v>1</v>
      </c>
      <c r="C54" s="6">
        <f>AVERAGE(C107+C160+C213)/3</f>
        <v>1.1063333333333334</v>
      </c>
      <c r="D54" s="6">
        <f t="shared" ref="D54:P54" si="0">AVERAGE(D107+D160+D213)/3</f>
        <v>5.6766666666666667</v>
      </c>
      <c r="E54" s="6">
        <f t="shared" si="0"/>
        <v>48.866666666666667</v>
      </c>
      <c r="F54" s="6">
        <f t="shared" si="0"/>
        <v>0.21633333333333335</v>
      </c>
      <c r="G54" s="6">
        <f t="shared" si="0"/>
        <v>2.866666666666667E-2</v>
      </c>
      <c r="H54" s="6">
        <f t="shared" si="0"/>
        <v>0</v>
      </c>
      <c r="I54" s="6">
        <f t="shared" si="0"/>
        <v>0.16366666666666665</v>
      </c>
      <c r="J54" s="6">
        <f t="shared" si="0"/>
        <v>0.55666666666666664</v>
      </c>
      <c r="K54" s="6">
        <f t="shared" si="0"/>
        <v>12.333333333333334</v>
      </c>
      <c r="L54" s="6">
        <f t="shared" si="0"/>
        <v>8.4566666666666652</v>
      </c>
      <c r="M54" s="6">
        <f t="shared" si="0"/>
        <v>9.4066666666666663</v>
      </c>
      <c r="N54" s="6">
        <f t="shared" si="0"/>
        <v>12.6</v>
      </c>
      <c r="O54" s="6">
        <f t="shared" si="0"/>
        <v>35.666666666666664</v>
      </c>
      <c r="P54" s="6">
        <f t="shared" si="0"/>
        <v>17</v>
      </c>
      <c r="Q54" s="10">
        <f>AVERAGE(Q107+Q160+Q213)/3</f>
        <v>1600</v>
      </c>
      <c r="R54" s="12"/>
    </row>
    <row r="55" spans="1:18" x14ac:dyDescent="0.25">
      <c r="A55" t="s">
        <v>0</v>
      </c>
      <c r="B55">
        <v>2</v>
      </c>
      <c r="C55" s="7">
        <v>0.01</v>
      </c>
      <c r="D55" s="7">
        <v>0</v>
      </c>
      <c r="E55" s="7">
        <v>10</v>
      </c>
      <c r="F55" s="7">
        <v>0.1</v>
      </c>
      <c r="G55" s="7">
        <v>7.0000000000000007E-2</v>
      </c>
      <c r="H55" s="7">
        <v>0</v>
      </c>
      <c r="I55" s="7">
        <v>0</v>
      </c>
      <c r="J55" s="7">
        <v>0.09</v>
      </c>
      <c r="K55" s="15">
        <v>15</v>
      </c>
      <c r="L55" s="16">
        <v>8.1999999999999993</v>
      </c>
      <c r="M55" s="14">
        <v>9.67</v>
      </c>
      <c r="N55" s="16">
        <v>3.7</v>
      </c>
      <c r="O55" s="16">
        <v>9.1999999999999993</v>
      </c>
      <c r="P55" s="7">
        <v>5</v>
      </c>
      <c r="Q55" s="15">
        <v>93</v>
      </c>
      <c r="R55" s="15"/>
    </row>
    <row r="56" spans="1:18" x14ac:dyDescent="0.25">
      <c r="A56" t="s">
        <v>1</v>
      </c>
      <c r="B56">
        <v>2</v>
      </c>
      <c r="C56" s="7">
        <v>0.01</v>
      </c>
      <c r="D56" s="7">
        <v>0</v>
      </c>
      <c r="E56" s="7">
        <v>10</v>
      </c>
      <c r="F56" s="17">
        <v>0.115</v>
      </c>
      <c r="G56" s="7">
        <v>0</v>
      </c>
      <c r="H56" s="7">
        <v>7.0000000000000007E-2</v>
      </c>
      <c r="I56" s="7">
        <v>0</v>
      </c>
      <c r="J56" s="7">
        <v>0.09</v>
      </c>
      <c r="K56" s="15">
        <v>12</v>
      </c>
      <c r="L56" s="14">
        <v>8.0299999999999994</v>
      </c>
      <c r="M56" s="14">
        <v>8.0500000000000007</v>
      </c>
      <c r="N56" s="16">
        <v>5.0999999999999996</v>
      </c>
      <c r="O56" s="16">
        <v>8.3000000000000007</v>
      </c>
      <c r="P56" s="7">
        <v>5</v>
      </c>
      <c r="Q56" s="15">
        <v>120</v>
      </c>
      <c r="R56" s="15"/>
    </row>
    <row r="57" spans="1:18" x14ac:dyDescent="0.25">
      <c r="A57" t="s">
        <v>3</v>
      </c>
      <c r="B57">
        <v>2</v>
      </c>
      <c r="C57" s="17">
        <v>1.2E-2</v>
      </c>
      <c r="D57" s="17">
        <v>0.92900000000000005</v>
      </c>
      <c r="E57" s="7">
        <v>10</v>
      </c>
      <c r="F57" s="7">
        <v>0.1</v>
      </c>
      <c r="G57" s="7">
        <v>0</v>
      </c>
      <c r="H57" s="7">
        <v>0</v>
      </c>
      <c r="I57" s="7">
        <v>0</v>
      </c>
      <c r="J57" s="14">
        <v>0.21</v>
      </c>
      <c r="K57" s="15">
        <v>14</v>
      </c>
      <c r="L57" s="14">
        <v>8.74</v>
      </c>
      <c r="M57" s="14">
        <v>10.24</v>
      </c>
      <c r="N57" s="16">
        <v>4.5999999999999996</v>
      </c>
      <c r="O57" s="16">
        <v>8.4</v>
      </c>
      <c r="P57" s="15">
        <v>9</v>
      </c>
      <c r="Q57" s="15">
        <v>170</v>
      </c>
      <c r="R57" s="15"/>
    </row>
    <row r="58" spans="1:18" x14ac:dyDescent="0.25">
      <c r="A58" t="s">
        <v>5</v>
      </c>
      <c r="B58">
        <v>2</v>
      </c>
      <c r="C58" s="17">
        <v>3.5000000000000003E-2</v>
      </c>
      <c r="D58" s="7">
        <v>0.09</v>
      </c>
      <c r="E58" s="7">
        <v>10</v>
      </c>
      <c r="F58" s="7">
        <v>0</v>
      </c>
      <c r="G58" s="7">
        <v>0</v>
      </c>
      <c r="H58" s="7">
        <v>0</v>
      </c>
      <c r="I58" s="7">
        <v>0</v>
      </c>
      <c r="J58" s="14">
        <v>0.15</v>
      </c>
      <c r="K58" s="15">
        <v>5</v>
      </c>
      <c r="L58" s="14">
        <v>7.81</v>
      </c>
      <c r="M58" s="14">
        <v>8.5299999999999994</v>
      </c>
      <c r="N58" s="16">
        <v>5.3</v>
      </c>
      <c r="O58" s="16">
        <v>13.8</v>
      </c>
      <c r="P58" s="15">
        <v>9</v>
      </c>
      <c r="Q58" s="15">
        <v>115</v>
      </c>
      <c r="R58" s="15"/>
    </row>
    <row r="59" spans="1:18" x14ac:dyDescent="0.25">
      <c r="A59" t="s">
        <v>4</v>
      </c>
      <c r="B59">
        <v>2</v>
      </c>
      <c r="C59" s="17">
        <v>1.9E-2</v>
      </c>
      <c r="D59" s="7">
        <v>0</v>
      </c>
      <c r="E59" s="7">
        <v>10</v>
      </c>
      <c r="F59" s="7">
        <v>0</v>
      </c>
      <c r="G59" s="7">
        <v>7.0000000000000007E-2</v>
      </c>
      <c r="H59" s="7">
        <v>0</v>
      </c>
      <c r="I59" s="7">
        <v>0</v>
      </c>
      <c r="J59" s="14">
        <v>0.24</v>
      </c>
      <c r="K59" s="15">
        <v>11</v>
      </c>
      <c r="L59" s="14">
        <v>8.14</v>
      </c>
      <c r="M59" s="14">
        <v>8.7100000000000009</v>
      </c>
      <c r="N59" s="15">
        <v>5</v>
      </c>
      <c r="O59" s="16">
        <v>8.9</v>
      </c>
      <c r="P59" s="7">
        <v>5</v>
      </c>
      <c r="Q59" s="15">
        <v>83</v>
      </c>
      <c r="R59" s="15"/>
    </row>
    <row r="60" spans="1:18" x14ac:dyDescent="0.25">
      <c r="A60" t="s">
        <v>2</v>
      </c>
      <c r="B60">
        <v>2</v>
      </c>
      <c r="C60" s="17">
        <v>1.6E-2</v>
      </c>
      <c r="D60" s="17">
        <v>0.71499999999999997</v>
      </c>
      <c r="E60" s="7">
        <v>10</v>
      </c>
      <c r="F60" s="17">
        <v>0.219</v>
      </c>
      <c r="G60" s="7">
        <v>0</v>
      </c>
      <c r="H60" s="7">
        <v>0</v>
      </c>
      <c r="I60" s="17">
        <v>0.151</v>
      </c>
      <c r="J60" s="14">
        <v>1.05</v>
      </c>
      <c r="K60" s="16">
        <v>8.1</v>
      </c>
      <c r="L60" s="14">
        <v>7.38</v>
      </c>
      <c r="M60" s="16">
        <v>6.9</v>
      </c>
      <c r="N60" s="16">
        <v>5.7</v>
      </c>
      <c r="O60" s="16">
        <v>18.7</v>
      </c>
      <c r="P60" s="15">
        <v>24</v>
      </c>
      <c r="Q60" s="15">
        <v>210</v>
      </c>
      <c r="R60" s="15"/>
    </row>
    <row r="61" spans="1:18" x14ac:dyDescent="0.25">
      <c r="A61" t="s">
        <v>6</v>
      </c>
      <c r="B61">
        <v>2</v>
      </c>
      <c r="C61" s="7">
        <v>0</v>
      </c>
      <c r="D61" s="7">
        <v>0</v>
      </c>
      <c r="E61" s="7">
        <v>10</v>
      </c>
      <c r="F61" s="17">
        <v>0.109</v>
      </c>
      <c r="G61" s="7">
        <v>0</v>
      </c>
      <c r="H61" s="7">
        <v>7.0000000000000007E-2</v>
      </c>
      <c r="I61" s="7">
        <v>6.7000000000000004E-2</v>
      </c>
      <c r="J61" s="14">
        <v>0.74</v>
      </c>
      <c r="K61" s="15">
        <v>11</v>
      </c>
      <c r="L61" s="14">
        <v>7.58</v>
      </c>
      <c r="M61" s="14">
        <v>7.56</v>
      </c>
      <c r="N61" s="16">
        <v>5.6</v>
      </c>
      <c r="O61" s="16">
        <v>12.2</v>
      </c>
      <c r="P61" s="15">
        <v>12</v>
      </c>
      <c r="Q61" s="15">
        <v>170</v>
      </c>
      <c r="R61" s="15"/>
    </row>
    <row r="62" spans="1:18" x14ac:dyDescent="0.25">
      <c r="A62" t="s">
        <v>7</v>
      </c>
      <c r="B62">
        <v>2</v>
      </c>
      <c r="C62" s="7">
        <v>0.01</v>
      </c>
      <c r="D62" s="7">
        <v>0</v>
      </c>
      <c r="E62" s="7">
        <v>0</v>
      </c>
      <c r="F62" s="7">
        <v>0</v>
      </c>
      <c r="G62" s="7">
        <v>0</v>
      </c>
      <c r="H62" s="7">
        <v>7.0000000000000001E-3</v>
      </c>
      <c r="I62" s="7">
        <v>0</v>
      </c>
      <c r="J62" s="7">
        <v>0.09</v>
      </c>
      <c r="K62" s="15">
        <v>17</v>
      </c>
      <c r="L62" s="16">
        <v>8.6999999999999993</v>
      </c>
      <c r="M62" s="14">
        <v>9.3800000000000008</v>
      </c>
      <c r="N62" s="16">
        <v>5.2</v>
      </c>
      <c r="O62" s="16">
        <v>11.6</v>
      </c>
      <c r="P62" s="7">
        <v>5</v>
      </c>
      <c r="Q62" s="15">
        <v>105</v>
      </c>
      <c r="R62" s="15"/>
    </row>
    <row r="63" spans="1:18" x14ac:dyDescent="0.25">
      <c r="A63" t="s">
        <v>8</v>
      </c>
      <c r="B63">
        <v>2</v>
      </c>
      <c r="C63" s="17">
        <v>1.4E-2</v>
      </c>
      <c r="D63" s="7">
        <v>0</v>
      </c>
      <c r="E63" s="7">
        <v>0</v>
      </c>
      <c r="F63" s="7">
        <v>0.1</v>
      </c>
      <c r="G63" s="7">
        <v>0</v>
      </c>
      <c r="H63" s="7">
        <v>0</v>
      </c>
      <c r="I63" s="7">
        <v>0</v>
      </c>
      <c r="J63" s="7">
        <v>0.09</v>
      </c>
      <c r="K63" s="15">
        <v>10</v>
      </c>
      <c r="L63" s="14">
        <v>8.2799999999999994</v>
      </c>
      <c r="M63" s="14">
        <v>8.19</v>
      </c>
      <c r="N63" s="16">
        <v>5.9</v>
      </c>
      <c r="O63" s="16">
        <v>9.1999999999999993</v>
      </c>
      <c r="P63" s="7">
        <v>5</v>
      </c>
      <c r="Q63" s="15">
        <v>92</v>
      </c>
      <c r="R63" s="15"/>
    </row>
    <row r="64" spans="1:18" x14ac:dyDescent="0.25">
      <c r="A64" t="s">
        <v>9</v>
      </c>
      <c r="B64">
        <v>2</v>
      </c>
      <c r="C64" s="7">
        <v>0.01</v>
      </c>
      <c r="D64" s="7">
        <v>0</v>
      </c>
      <c r="E64" s="7">
        <v>0</v>
      </c>
      <c r="F64" s="7">
        <v>0</v>
      </c>
      <c r="G64" s="7">
        <v>0</v>
      </c>
      <c r="H64" s="7">
        <v>7.0000000000000001E-3</v>
      </c>
      <c r="I64" s="7">
        <v>0</v>
      </c>
      <c r="J64" s="14">
        <v>0.13</v>
      </c>
      <c r="K64" s="15">
        <v>11</v>
      </c>
      <c r="L64" s="14">
        <v>8.19</v>
      </c>
      <c r="M64" s="14">
        <v>8.25</v>
      </c>
      <c r="N64" s="16">
        <v>6.5</v>
      </c>
      <c r="O64" s="16">
        <v>13.9</v>
      </c>
      <c r="P64" s="7">
        <v>5</v>
      </c>
      <c r="Q64" s="15">
        <v>140</v>
      </c>
      <c r="R64" s="15"/>
    </row>
    <row r="65" spans="1:18" x14ac:dyDescent="0.25">
      <c r="A65" t="s">
        <v>10</v>
      </c>
      <c r="B65">
        <v>2</v>
      </c>
      <c r="C65" s="17">
        <v>2.1000000000000001E-2</v>
      </c>
      <c r="D65" s="7">
        <v>0</v>
      </c>
      <c r="E65" s="7">
        <v>10</v>
      </c>
      <c r="F65" s="7">
        <v>0</v>
      </c>
      <c r="G65" s="7">
        <v>0</v>
      </c>
      <c r="H65" s="7">
        <v>0</v>
      </c>
      <c r="I65" s="7">
        <v>0</v>
      </c>
      <c r="J65" s="14">
        <v>0.12</v>
      </c>
      <c r="K65" s="15">
        <v>12</v>
      </c>
      <c r="L65" s="14">
        <v>7.97</v>
      </c>
      <c r="M65" s="14">
        <v>8.2799999999999994</v>
      </c>
      <c r="N65" s="16">
        <v>5.2</v>
      </c>
      <c r="O65" s="15">
        <v>14</v>
      </c>
      <c r="P65" s="7">
        <v>5</v>
      </c>
      <c r="Q65" s="15">
        <v>140</v>
      </c>
      <c r="R65" s="15"/>
    </row>
    <row r="66" spans="1:18" x14ac:dyDescent="0.25">
      <c r="A66" t="s">
        <v>11</v>
      </c>
      <c r="B66">
        <v>2</v>
      </c>
      <c r="C66" s="17">
        <v>1.7999999999999999E-2</v>
      </c>
      <c r="D66" s="17">
        <v>0.47099999999999997</v>
      </c>
      <c r="E66" s="7">
        <v>10</v>
      </c>
      <c r="F66" s="7">
        <v>0.1</v>
      </c>
      <c r="G66" s="7">
        <v>0</v>
      </c>
      <c r="H66" s="7">
        <v>0</v>
      </c>
      <c r="I66" s="7">
        <v>6.7000000000000004E-2</v>
      </c>
      <c r="J66" s="14">
        <v>0.54</v>
      </c>
      <c r="K66" s="15">
        <v>13</v>
      </c>
      <c r="L66" s="14">
        <v>7.76</v>
      </c>
      <c r="M66" s="14">
        <v>7.37</v>
      </c>
      <c r="N66" s="16">
        <v>4.4000000000000004</v>
      </c>
      <c r="O66" s="16">
        <v>9.4</v>
      </c>
      <c r="P66" s="15">
        <v>14</v>
      </c>
      <c r="Q66" s="15">
        <v>120</v>
      </c>
      <c r="R66" s="15"/>
    </row>
    <row r="67" spans="1:18" x14ac:dyDescent="0.25">
      <c r="A67" t="s">
        <v>12</v>
      </c>
      <c r="B67">
        <v>2</v>
      </c>
      <c r="C67" s="17">
        <v>5.5E-2</v>
      </c>
      <c r="D67" s="17">
        <v>0.17399999999999999</v>
      </c>
      <c r="E67" s="16">
        <v>25.2</v>
      </c>
      <c r="F67" s="17">
        <v>0.42099999999999999</v>
      </c>
      <c r="G67" s="17">
        <v>1.0999999999999999E-2</v>
      </c>
      <c r="H67" s="7">
        <v>0</v>
      </c>
      <c r="I67" s="7">
        <v>6.7000000000000004E-2</v>
      </c>
      <c r="J67" s="14">
        <v>0.73</v>
      </c>
      <c r="K67" s="15">
        <v>8</v>
      </c>
      <c r="L67" s="14">
        <v>7.63</v>
      </c>
      <c r="M67" s="14">
        <v>7.8</v>
      </c>
      <c r="N67" s="16">
        <v>3.4</v>
      </c>
      <c r="O67" s="16">
        <v>15.7</v>
      </c>
      <c r="P67" s="15">
        <v>27</v>
      </c>
      <c r="Q67" s="15">
        <v>140</v>
      </c>
      <c r="R67" s="15"/>
    </row>
    <row r="68" spans="1:18" x14ac:dyDescent="0.25">
      <c r="A68" t="s">
        <v>13</v>
      </c>
      <c r="B68">
        <v>2</v>
      </c>
      <c r="C68" s="7">
        <v>0.01</v>
      </c>
      <c r="D68" s="14">
        <v>2.2200000000000002</v>
      </c>
      <c r="E68" s="15">
        <v>11</v>
      </c>
      <c r="F68" s="7">
        <v>0</v>
      </c>
      <c r="G68" s="7">
        <v>7.0000000000000007E-2</v>
      </c>
      <c r="H68" s="7">
        <v>0</v>
      </c>
      <c r="I68" s="17">
        <v>0.372</v>
      </c>
      <c r="J68" s="14">
        <v>0.38</v>
      </c>
      <c r="K68" s="15">
        <v>11</v>
      </c>
      <c r="L68" s="14">
        <v>7.58</v>
      </c>
      <c r="M68" s="14">
        <v>4.8499999999999996</v>
      </c>
      <c r="N68" s="16">
        <v>6.4</v>
      </c>
      <c r="O68" s="16">
        <v>23.1</v>
      </c>
      <c r="P68" s="15">
        <v>13</v>
      </c>
      <c r="Q68" s="15">
        <v>820</v>
      </c>
      <c r="R68" s="15"/>
    </row>
    <row r="69" spans="1:18" x14ac:dyDescent="0.25">
      <c r="A69" t="s">
        <v>14</v>
      </c>
      <c r="B69">
        <v>2</v>
      </c>
      <c r="C69" s="17">
        <v>2.5000000000000001E-2</v>
      </c>
      <c r="D69" s="14">
        <v>0.98</v>
      </c>
      <c r="E69" s="15">
        <v>42</v>
      </c>
      <c r="F69" s="14">
        <v>0.49</v>
      </c>
      <c r="G69" s="7">
        <v>7.0000000000000007E-2</v>
      </c>
      <c r="H69" s="7">
        <v>0</v>
      </c>
      <c r="I69" s="17">
        <v>0.41399999999999998</v>
      </c>
      <c r="J69" s="14">
        <v>0.64</v>
      </c>
      <c r="K69" s="15">
        <v>10</v>
      </c>
      <c r="L69" s="14">
        <v>7.44</v>
      </c>
      <c r="M69" s="14">
        <v>5.0999999999999996</v>
      </c>
      <c r="N69" s="16">
        <v>8.6</v>
      </c>
      <c r="O69" s="15">
        <v>25</v>
      </c>
      <c r="P69" s="15">
        <v>11</v>
      </c>
      <c r="Q69" s="15">
        <v>1400</v>
      </c>
      <c r="R69" s="15"/>
    </row>
    <row r="70" spans="1:18" x14ac:dyDescent="0.25">
      <c r="A70" t="s">
        <v>15</v>
      </c>
      <c r="B70">
        <v>2</v>
      </c>
      <c r="C70" s="17">
        <v>2.7E-2</v>
      </c>
      <c r="D70" s="14">
        <v>3.16</v>
      </c>
      <c r="E70" s="15">
        <v>94</v>
      </c>
      <c r="F70" s="17">
        <v>0.34</v>
      </c>
      <c r="G70" s="7">
        <v>0</v>
      </c>
      <c r="H70" s="7">
        <v>0</v>
      </c>
      <c r="I70" s="17">
        <v>0.30399999999999999</v>
      </c>
      <c r="J70" s="14">
        <v>0.34</v>
      </c>
      <c r="K70" s="15">
        <v>13</v>
      </c>
      <c r="L70" s="14">
        <v>7.77</v>
      </c>
      <c r="M70" s="14">
        <v>8.83</v>
      </c>
      <c r="N70" s="16">
        <v>3.9</v>
      </c>
      <c r="O70" s="16">
        <v>18.5</v>
      </c>
      <c r="P70" s="15">
        <v>11</v>
      </c>
      <c r="Q70" s="15">
        <v>140</v>
      </c>
      <c r="R70" s="15"/>
    </row>
    <row r="71" spans="1:18" x14ac:dyDescent="0.25">
      <c r="A71" t="s">
        <v>16</v>
      </c>
      <c r="B71">
        <v>2</v>
      </c>
      <c r="C71" s="17">
        <v>1.4E-2</v>
      </c>
      <c r="D71" s="17">
        <v>1.8640000000000001</v>
      </c>
      <c r="E71" s="15">
        <v>2110</v>
      </c>
      <c r="F71" s="17">
        <v>0.70499999999999996</v>
      </c>
      <c r="G71" s="7">
        <v>7.0000000000000007E-2</v>
      </c>
      <c r="H71" s="7">
        <v>0</v>
      </c>
      <c r="I71" s="17">
        <v>0.14899999999999999</v>
      </c>
      <c r="J71" s="14">
        <v>0.67</v>
      </c>
      <c r="K71" s="15">
        <v>21</v>
      </c>
      <c r="L71" s="14">
        <v>7.65</v>
      </c>
      <c r="M71" s="14">
        <v>7.52</v>
      </c>
      <c r="N71" s="16">
        <v>4.2</v>
      </c>
      <c r="O71" s="16">
        <v>22.3</v>
      </c>
      <c r="P71" s="15">
        <v>10</v>
      </c>
      <c r="Q71" s="15">
        <v>1150</v>
      </c>
      <c r="R71" s="15"/>
    </row>
    <row r="72" spans="1:18" x14ac:dyDescent="0.25">
      <c r="A72" t="s">
        <v>17</v>
      </c>
      <c r="B72">
        <v>2</v>
      </c>
      <c r="C72" s="17">
        <v>0.13500000000000001</v>
      </c>
      <c r="D72" s="17">
        <v>0.28799999999999998</v>
      </c>
      <c r="E72" s="16">
        <v>2818.5</v>
      </c>
      <c r="F72" s="17">
        <v>1.0089999999999999</v>
      </c>
      <c r="G72" s="7">
        <v>0</v>
      </c>
      <c r="H72" s="7">
        <v>0</v>
      </c>
      <c r="I72" s="7">
        <v>6.7000000000000004E-2</v>
      </c>
      <c r="J72" s="14">
        <v>0.66</v>
      </c>
      <c r="K72" s="15">
        <v>28</v>
      </c>
      <c r="L72" s="16">
        <v>7.7</v>
      </c>
      <c r="M72" s="16">
        <v>8.4</v>
      </c>
      <c r="N72" s="16">
        <v>5.5</v>
      </c>
      <c r="O72" s="16">
        <v>15.4</v>
      </c>
      <c r="P72" s="15">
        <v>13</v>
      </c>
      <c r="Q72" s="15">
        <v>140</v>
      </c>
      <c r="R72" s="15"/>
    </row>
    <row r="73" spans="1:18" x14ac:dyDescent="0.25">
      <c r="A73" t="s">
        <v>18</v>
      </c>
      <c r="B73">
        <v>2</v>
      </c>
      <c r="C73" s="17">
        <v>4.9000000000000002E-2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14">
        <v>0.22</v>
      </c>
      <c r="K73" s="15">
        <v>3</v>
      </c>
      <c r="L73" s="14">
        <v>7.97</v>
      </c>
      <c r="M73" s="14">
        <v>8.27</v>
      </c>
      <c r="N73" s="16">
        <v>4.5999999999999996</v>
      </c>
      <c r="O73" s="16">
        <v>12.3</v>
      </c>
      <c r="P73" s="15">
        <v>8</v>
      </c>
      <c r="Q73" s="15">
        <v>170</v>
      </c>
      <c r="R73" s="15"/>
    </row>
    <row r="74" spans="1:18" x14ac:dyDescent="0.25">
      <c r="A74" t="s">
        <v>19</v>
      </c>
      <c r="B74">
        <v>2</v>
      </c>
      <c r="C74" s="17">
        <v>2.1000000000000001E-2</v>
      </c>
      <c r="D74" s="7">
        <v>0.09</v>
      </c>
      <c r="E74" s="7">
        <v>0</v>
      </c>
      <c r="F74" s="7">
        <v>0</v>
      </c>
      <c r="G74" s="7">
        <v>0</v>
      </c>
      <c r="H74" s="7">
        <v>7.0000000000000007E-2</v>
      </c>
      <c r="I74" s="7">
        <v>0</v>
      </c>
      <c r="J74" s="14">
        <v>0.43</v>
      </c>
      <c r="K74" s="15">
        <v>4</v>
      </c>
      <c r="L74" s="14">
        <v>8.14</v>
      </c>
      <c r="M74" s="14">
        <v>9.34</v>
      </c>
      <c r="N74" s="16">
        <v>5.4</v>
      </c>
      <c r="O74" s="16">
        <v>12.3</v>
      </c>
      <c r="P74" s="7">
        <v>5</v>
      </c>
      <c r="Q74" s="15">
        <v>92</v>
      </c>
      <c r="R74" s="15"/>
    </row>
    <row r="75" spans="1:18" x14ac:dyDescent="0.25">
      <c r="A75" t="s">
        <v>20</v>
      </c>
      <c r="B75">
        <v>2</v>
      </c>
      <c r="C75" s="17">
        <v>5.8999999999999997E-2</v>
      </c>
      <c r="D75" s="7">
        <v>0</v>
      </c>
      <c r="E75" s="7">
        <v>0</v>
      </c>
      <c r="F75" s="14">
        <v>0.32</v>
      </c>
      <c r="G75" s="7">
        <v>7.0000000000000007E-2</v>
      </c>
      <c r="H75" s="7">
        <v>0</v>
      </c>
      <c r="I75" s="7">
        <v>6.7000000000000004E-2</v>
      </c>
      <c r="J75" s="14">
        <v>0.42</v>
      </c>
      <c r="K75" s="15">
        <v>6</v>
      </c>
      <c r="L75" s="14">
        <v>8</v>
      </c>
      <c r="M75" s="14">
        <v>8.75</v>
      </c>
      <c r="N75" s="16">
        <v>6.1</v>
      </c>
      <c r="O75" s="16">
        <v>14.2</v>
      </c>
      <c r="P75" s="7">
        <v>5</v>
      </c>
      <c r="Q75" s="15">
        <v>140</v>
      </c>
      <c r="R75" s="15"/>
    </row>
    <row r="76" spans="1:18" x14ac:dyDescent="0.25">
      <c r="A76" t="s">
        <v>21</v>
      </c>
      <c r="B76">
        <v>2</v>
      </c>
      <c r="C76" s="17">
        <v>1.2E-2</v>
      </c>
      <c r="D76" s="7">
        <v>0.09</v>
      </c>
      <c r="E76" s="7">
        <v>0</v>
      </c>
      <c r="F76" s="17">
        <v>0.26700000000000002</v>
      </c>
      <c r="G76" s="7">
        <v>7.0000000000000007E-2</v>
      </c>
      <c r="H76" s="7">
        <v>0</v>
      </c>
      <c r="I76" s="7">
        <v>6.7000000000000004E-2</v>
      </c>
      <c r="J76" s="14">
        <v>0.24</v>
      </c>
      <c r="K76" s="15">
        <v>5</v>
      </c>
      <c r="L76" s="14">
        <v>8.09</v>
      </c>
      <c r="M76" s="14">
        <v>8.59</v>
      </c>
      <c r="N76" s="16">
        <v>5.4</v>
      </c>
      <c r="O76" s="16">
        <v>14.2</v>
      </c>
      <c r="P76" s="15">
        <v>6</v>
      </c>
      <c r="Q76" s="15">
        <v>140</v>
      </c>
      <c r="R76" s="15"/>
    </row>
    <row r="77" spans="1:18" x14ac:dyDescent="0.25">
      <c r="A77" t="s">
        <v>22</v>
      </c>
      <c r="B77">
        <v>2</v>
      </c>
      <c r="C77" s="7">
        <v>0.01</v>
      </c>
      <c r="D77" s="17">
        <v>0.20200000000000001</v>
      </c>
      <c r="E77" s="7">
        <v>10</v>
      </c>
      <c r="F77" s="7">
        <v>0</v>
      </c>
      <c r="G77" s="7">
        <v>0</v>
      </c>
      <c r="H77" s="7">
        <v>7.0000000000000007E-2</v>
      </c>
      <c r="I77" s="7">
        <v>6.7000000000000004E-2</v>
      </c>
      <c r="J77" s="14">
        <v>0.66</v>
      </c>
      <c r="K77" s="16">
        <v>9.1999999999999993</v>
      </c>
      <c r="L77" s="14">
        <v>7.67</v>
      </c>
      <c r="M77" s="14">
        <v>7.71</v>
      </c>
      <c r="N77" s="15">
        <v>5</v>
      </c>
      <c r="O77" s="16">
        <v>9.4</v>
      </c>
      <c r="P77" s="15">
        <v>34</v>
      </c>
      <c r="Q77" s="15">
        <v>120</v>
      </c>
      <c r="R77" s="15"/>
    </row>
    <row r="78" spans="1:18" x14ac:dyDescent="0.25">
      <c r="A78" t="s">
        <v>23</v>
      </c>
      <c r="B78">
        <v>2</v>
      </c>
      <c r="C78" s="19">
        <v>0.01</v>
      </c>
      <c r="D78" s="19">
        <v>0</v>
      </c>
      <c r="E78" s="19">
        <v>0</v>
      </c>
      <c r="F78" s="19">
        <v>0.1</v>
      </c>
      <c r="G78" s="19">
        <v>0</v>
      </c>
      <c r="H78" s="19">
        <v>0</v>
      </c>
      <c r="I78" s="19">
        <v>0</v>
      </c>
      <c r="J78" s="21">
        <v>0.27</v>
      </c>
      <c r="K78" s="15">
        <v>4</v>
      </c>
      <c r="L78" s="14">
        <v>8.23</v>
      </c>
      <c r="M78" s="14">
        <v>8.81</v>
      </c>
      <c r="N78" s="16">
        <v>3.5</v>
      </c>
      <c r="O78" s="16">
        <v>9.5</v>
      </c>
      <c r="P78" s="7">
        <v>5</v>
      </c>
      <c r="Q78" s="15">
        <v>120</v>
      </c>
      <c r="R78" s="15"/>
    </row>
    <row r="79" spans="1:18" x14ac:dyDescent="0.25">
      <c r="A79" t="s">
        <v>24</v>
      </c>
      <c r="B79">
        <v>2</v>
      </c>
      <c r="C79" s="20">
        <v>1.0999999999999999E-2</v>
      </c>
      <c r="D79" s="19">
        <v>0.09</v>
      </c>
      <c r="E79" s="19">
        <v>10</v>
      </c>
      <c r="F79" s="19">
        <v>0</v>
      </c>
      <c r="G79" s="19">
        <v>0</v>
      </c>
      <c r="H79" s="19">
        <v>0</v>
      </c>
      <c r="I79" s="19">
        <v>6.7000000000000004E-2</v>
      </c>
      <c r="J79" s="21">
        <v>0.35</v>
      </c>
      <c r="K79" s="15">
        <v>6</v>
      </c>
      <c r="L79" s="14">
        <v>8.14</v>
      </c>
      <c r="M79" s="14">
        <v>8.69</v>
      </c>
      <c r="N79" s="16">
        <v>4.8</v>
      </c>
      <c r="O79" s="16">
        <v>16.100000000000001</v>
      </c>
      <c r="P79" s="15">
        <v>7</v>
      </c>
      <c r="Q79" s="15">
        <v>200</v>
      </c>
      <c r="R79" s="15"/>
    </row>
    <row r="80" spans="1:18" x14ac:dyDescent="0.25">
      <c r="A80" t="s">
        <v>25</v>
      </c>
      <c r="B80">
        <v>2</v>
      </c>
      <c r="C80" s="19">
        <v>0</v>
      </c>
      <c r="D80" s="19">
        <v>0</v>
      </c>
      <c r="E80" s="19">
        <v>10</v>
      </c>
      <c r="F80" s="19">
        <v>0</v>
      </c>
      <c r="G80" s="19">
        <v>7.0000000000000007E-2</v>
      </c>
      <c r="H80" s="19">
        <v>0</v>
      </c>
      <c r="I80" s="20">
        <v>7.6999999999999999E-2</v>
      </c>
      <c r="J80" s="21">
        <v>0.52</v>
      </c>
      <c r="K80" s="15">
        <v>6</v>
      </c>
      <c r="L80" s="14">
        <v>8.0399999999999991</v>
      </c>
      <c r="M80" s="14">
        <v>9.5299999999999994</v>
      </c>
      <c r="N80" s="16">
        <v>6.5</v>
      </c>
      <c r="O80" s="16">
        <v>12.7</v>
      </c>
      <c r="P80" s="15">
        <v>7</v>
      </c>
      <c r="Q80" s="15">
        <v>130</v>
      </c>
      <c r="R80" s="15"/>
    </row>
    <row r="81" spans="1:18" x14ac:dyDescent="0.25">
      <c r="A81" t="s">
        <v>26</v>
      </c>
      <c r="B81">
        <v>2</v>
      </c>
      <c r="C81" s="19">
        <v>0.01</v>
      </c>
      <c r="D81" s="19">
        <v>0.09</v>
      </c>
      <c r="E81" s="19">
        <v>10</v>
      </c>
      <c r="F81" s="19">
        <v>0.1</v>
      </c>
      <c r="G81" s="19">
        <v>7.0000000000000007E-2</v>
      </c>
      <c r="H81" s="19">
        <v>0</v>
      </c>
      <c r="I81" s="20">
        <v>1.3440000000000001</v>
      </c>
      <c r="J81" s="21">
        <v>1.62</v>
      </c>
      <c r="K81" s="15">
        <v>12</v>
      </c>
      <c r="L81" s="16">
        <v>7.6</v>
      </c>
      <c r="M81" s="14">
        <v>8.0500000000000007</v>
      </c>
      <c r="N81" s="16">
        <v>5.9</v>
      </c>
      <c r="O81" s="16">
        <v>10.8</v>
      </c>
      <c r="P81" s="15">
        <v>6</v>
      </c>
      <c r="Q81" s="15">
        <v>170</v>
      </c>
      <c r="R81" s="15"/>
    </row>
    <row r="82" spans="1:18" x14ac:dyDescent="0.25">
      <c r="A82" t="s">
        <v>27</v>
      </c>
      <c r="B82">
        <v>2</v>
      </c>
      <c r="C82" s="20">
        <v>4.5999999999999999E-2</v>
      </c>
      <c r="D82" s="19">
        <v>0</v>
      </c>
      <c r="E82" s="19">
        <v>10</v>
      </c>
      <c r="F82" s="19">
        <v>0</v>
      </c>
      <c r="G82" s="19">
        <v>7.0000000000000007E-2</v>
      </c>
      <c r="H82" s="19">
        <v>0</v>
      </c>
      <c r="I82" s="19">
        <v>6.7000000000000004E-2</v>
      </c>
      <c r="J82" s="21">
        <v>0.42</v>
      </c>
      <c r="K82" s="15">
        <v>8</v>
      </c>
      <c r="L82" s="14">
        <v>8.56</v>
      </c>
      <c r="M82" s="14">
        <v>8.3800000000000008</v>
      </c>
      <c r="N82" s="16">
        <v>3.9</v>
      </c>
      <c r="O82" s="16">
        <v>9.5</v>
      </c>
      <c r="P82" s="15">
        <v>14</v>
      </c>
      <c r="Q82" s="15">
        <v>92</v>
      </c>
      <c r="R82" s="15"/>
    </row>
    <row r="83" spans="1:18" x14ac:dyDescent="0.25">
      <c r="A83" t="s">
        <v>28</v>
      </c>
      <c r="B83">
        <v>2</v>
      </c>
      <c r="C83" s="7">
        <v>0.01</v>
      </c>
      <c r="D83" s="7">
        <v>0</v>
      </c>
      <c r="E83" s="16">
        <v>13.5</v>
      </c>
      <c r="F83" s="7">
        <v>0</v>
      </c>
      <c r="G83" s="7">
        <v>0</v>
      </c>
      <c r="H83" s="7">
        <v>0</v>
      </c>
      <c r="I83" s="7">
        <v>0</v>
      </c>
      <c r="J83" s="14">
        <v>0.09</v>
      </c>
      <c r="K83" s="15">
        <v>12</v>
      </c>
      <c r="L83" s="21">
        <v>8.4600000000000009</v>
      </c>
      <c r="M83" s="21">
        <v>8.5299999999999994</v>
      </c>
      <c r="N83" s="18">
        <v>5.3</v>
      </c>
      <c r="O83" s="18">
        <v>16.5</v>
      </c>
      <c r="P83" s="22">
        <v>12</v>
      </c>
      <c r="Q83" s="22">
        <v>135</v>
      </c>
      <c r="R83" s="15"/>
    </row>
    <row r="84" spans="1:18" x14ac:dyDescent="0.25">
      <c r="A84" t="s">
        <v>29</v>
      </c>
      <c r="B84">
        <v>2</v>
      </c>
      <c r="C84" s="7">
        <v>0.01</v>
      </c>
      <c r="D84" s="17">
        <v>0.24299999999999999</v>
      </c>
      <c r="E84" s="16">
        <v>16.5</v>
      </c>
      <c r="F84" s="7">
        <v>0</v>
      </c>
      <c r="G84" s="7">
        <v>0</v>
      </c>
      <c r="H84" s="7">
        <v>0</v>
      </c>
      <c r="I84" s="7">
        <v>6.7000000000000004E-2</v>
      </c>
      <c r="J84" s="14">
        <v>0.17</v>
      </c>
      <c r="K84" s="15">
        <v>14</v>
      </c>
      <c r="L84" s="21">
        <v>7.76</v>
      </c>
      <c r="M84" s="21">
        <v>7.97</v>
      </c>
      <c r="N84" s="18">
        <v>4.3</v>
      </c>
      <c r="O84" s="18">
        <v>18.3</v>
      </c>
      <c r="P84" s="22">
        <v>9</v>
      </c>
      <c r="Q84" s="22">
        <v>200</v>
      </c>
      <c r="R84" s="15"/>
    </row>
    <row r="85" spans="1:18" x14ac:dyDescent="0.25">
      <c r="A85" t="s">
        <v>30</v>
      </c>
      <c r="B85">
        <v>2</v>
      </c>
      <c r="C85" s="14">
        <v>0.09</v>
      </c>
      <c r="D85" s="17">
        <v>1.054</v>
      </c>
      <c r="E85" s="16">
        <v>27.3</v>
      </c>
      <c r="F85" s="17">
        <v>0.41199999999999998</v>
      </c>
      <c r="G85" s="7">
        <v>0</v>
      </c>
      <c r="H85" s="7">
        <v>0</v>
      </c>
      <c r="I85" s="17">
        <v>0.246</v>
      </c>
      <c r="J85" s="14">
        <v>0.22</v>
      </c>
      <c r="K85" s="15">
        <v>18</v>
      </c>
      <c r="L85" s="21">
        <v>7.92</v>
      </c>
      <c r="M85" s="21">
        <v>7.81</v>
      </c>
      <c r="N85" s="18">
        <v>4.3</v>
      </c>
      <c r="O85" s="18">
        <v>17.2</v>
      </c>
      <c r="P85" s="22">
        <v>22</v>
      </c>
      <c r="Q85" s="22">
        <v>280</v>
      </c>
      <c r="R85" s="15"/>
    </row>
    <row r="86" spans="1:18" x14ac:dyDescent="0.25">
      <c r="A86" t="s">
        <v>31</v>
      </c>
      <c r="B86">
        <v>2</v>
      </c>
      <c r="C86" s="17">
        <v>2.1000000000000001E-2</v>
      </c>
      <c r="D86" s="17">
        <v>1.054</v>
      </c>
      <c r="E86" s="16">
        <v>23.4</v>
      </c>
      <c r="F86" s="7">
        <v>0</v>
      </c>
      <c r="G86" s="7">
        <v>0</v>
      </c>
      <c r="H86" s="7">
        <v>0</v>
      </c>
      <c r="I86" s="19">
        <v>0</v>
      </c>
      <c r="J86" s="21">
        <v>0.12</v>
      </c>
      <c r="K86" s="22">
        <v>4</v>
      </c>
      <c r="L86" s="14">
        <v>8.44</v>
      </c>
      <c r="M86" s="14">
        <v>8.6999999999999993</v>
      </c>
      <c r="N86" s="15">
        <v>4</v>
      </c>
      <c r="O86" s="16">
        <v>14.5</v>
      </c>
      <c r="P86" s="15">
        <v>10</v>
      </c>
      <c r="Q86" s="15">
        <v>110</v>
      </c>
      <c r="R86" s="15"/>
    </row>
    <row r="87" spans="1:18" x14ac:dyDescent="0.25">
      <c r="A87" t="s">
        <v>32</v>
      </c>
      <c r="B87">
        <v>2</v>
      </c>
      <c r="C87" s="17">
        <v>9.5000000000000001E-2</v>
      </c>
      <c r="D87" s="7">
        <v>0.1</v>
      </c>
      <c r="E87" s="15">
        <v>5640</v>
      </c>
      <c r="F87" s="17">
        <v>0.54800000000000004</v>
      </c>
      <c r="G87" s="7">
        <v>0</v>
      </c>
      <c r="H87" s="7">
        <v>0</v>
      </c>
      <c r="I87" s="20">
        <v>9.5000000000000001E-2</v>
      </c>
      <c r="J87" s="21">
        <v>0.11</v>
      </c>
      <c r="K87" s="22">
        <v>6</v>
      </c>
      <c r="L87" s="14">
        <v>7.74</v>
      </c>
      <c r="M87" s="14">
        <v>8.36</v>
      </c>
      <c r="N87" s="15">
        <v>6</v>
      </c>
      <c r="O87" s="16">
        <v>17.2</v>
      </c>
      <c r="P87" s="7">
        <v>5</v>
      </c>
      <c r="Q87" s="15">
        <v>130</v>
      </c>
      <c r="R87" s="15"/>
    </row>
    <row r="88" spans="1:18" x14ac:dyDescent="0.25">
      <c r="A88" t="s">
        <v>33</v>
      </c>
      <c r="B88">
        <v>2</v>
      </c>
      <c r="C88" s="7">
        <v>0.01</v>
      </c>
      <c r="D88" s="17">
        <v>0.41799999999999998</v>
      </c>
      <c r="E88" s="15">
        <v>6770</v>
      </c>
      <c r="F88" s="17">
        <v>0.65100000000000002</v>
      </c>
      <c r="G88" s="7">
        <v>0</v>
      </c>
      <c r="H88" s="7">
        <v>0</v>
      </c>
      <c r="I88" s="21">
        <v>0.11</v>
      </c>
      <c r="J88" s="21">
        <v>0.17</v>
      </c>
      <c r="K88" s="22">
        <v>7</v>
      </c>
      <c r="L88" s="14">
        <v>7.56</v>
      </c>
      <c r="M88" s="14">
        <v>6.31</v>
      </c>
      <c r="N88" s="16">
        <v>5.7</v>
      </c>
      <c r="O88" s="16">
        <v>18.100000000000001</v>
      </c>
      <c r="P88" s="15">
        <v>8</v>
      </c>
      <c r="Q88" s="15">
        <v>200</v>
      </c>
      <c r="R88" s="15"/>
    </row>
    <row r="89" spans="1:18" x14ac:dyDescent="0.25">
      <c r="A89" t="s">
        <v>34</v>
      </c>
      <c r="B89">
        <v>2</v>
      </c>
      <c r="C89" s="7">
        <v>0.01</v>
      </c>
      <c r="D89" s="7">
        <v>0</v>
      </c>
      <c r="E89" s="15">
        <v>44</v>
      </c>
      <c r="F89" s="7">
        <v>0.1</v>
      </c>
      <c r="G89" s="7">
        <v>0</v>
      </c>
      <c r="H89" s="7">
        <v>0</v>
      </c>
      <c r="I89" s="20">
        <v>0.123</v>
      </c>
      <c r="J89" s="21">
        <v>0.28999999999999998</v>
      </c>
      <c r="K89" s="22">
        <v>16</v>
      </c>
      <c r="L89" s="14">
        <v>7.67</v>
      </c>
      <c r="M89" s="14">
        <v>5.0999999999999996</v>
      </c>
      <c r="N89" s="16">
        <v>6.1</v>
      </c>
      <c r="O89" s="15">
        <v>21</v>
      </c>
      <c r="P89" s="15">
        <v>16</v>
      </c>
      <c r="Q89" s="15">
        <v>210</v>
      </c>
      <c r="R89" s="15"/>
    </row>
    <row r="90" spans="1:18" x14ac:dyDescent="0.25">
      <c r="A90" t="s">
        <v>35</v>
      </c>
      <c r="B90">
        <v>2</v>
      </c>
      <c r="C90" s="7">
        <v>0.01</v>
      </c>
      <c r="D90" s="7">
        <v>0</v>
      </c>
      <c r="E90" s="15">
        <v>55</v>
      </c>
      <c r="F90" s="17">
        <v>0.51500000000000001</v>
      </c>
      <c r="G90" s="7">
        <v>0</v>
      </c>
      <c r="H90" s="7">
        <v>0</v>
      </c>
      <c r="I90" s="20">
        <v>0.151</v>
      </c>
      <c r="J90" s="21">
        <v>0.44</v>
      </c>
      <c r="K90" s="22">
        <v>18</v>
      </c>
      <c r="L90" s="14">
        <v>7.55</v>
      </c>
      <c r="M90" s="14">
        <v>5.2</v>
      </c>
      <c r="N90" s="16">
        <v>6.4</v>
      </c>
      <c r="O90" s="16">
        <v>13.7</v>
      </c>
      <c r="P90" s="15">
        <v>13</v>
      </c>
      <c r="Q90" s="15">
        <v>170</v>
      </c>
      <c r="R90" s="15"/>
    </row>
    <row r="91" spans="1:18" x14ac:dyDescent="0.25">
      <c r="A91" t="s">
        <v>36</v>
      </c>
      <c r="B91">
        <v>2</v>
      </c>
      <c r="C91" s="7">
        <v>0.01</v>
      </c>
      <c r="D91" s="7">
        <v>0</v>
      </c>
      <c r="E91" s="16">
        <v>13.8</v>
      </c>
      <c r="F91" s="7">
        <v>0</v>
      </c>
      <c r="G91" s="7">
        <v>0</v>
      </c>
      <c r="H91" s="7">
        <v>0</v>
      </c>
      <c r="I91" s="20">
        <v>8.8999999999999996E-2</v>
      </c>
      <c r="J91" s="21">
        <v>0.27</v>
      </c>
      <c r="K91" s="22">
        <v>15</v>
      </c>
      <c r="L91" s="14">
        <v>7.63</v>
      </c>
      <c r="M91" s="14">
        <v>5.37</v>
      </c>
      <c r="N91" s="16">
        <v>4.0999999999999996</v>
      </c>
      <c r="O91" s="16">
        <v>15.5</v>
      </c>
      <c r="P91" s="15">
        <v>11</v>
      </c>
      <c r="Q91" s="15">
        <v>140</v>
      </c>
      <c r="R91" s="15"/>
    </row>
    <row r="92" spans="1:18" x14ac:dyDescent="0.25">
      <c r="A92" t="s">
        <v>37</v>
      </c>
      <c r="B92">
        <v>2</v>
      </c>
      <c r="C92" s="7">
        <v>0.01</v>
      </c>
      <c r="D92" s="17">
        <v>9.8000000000000004E-2</v>
      </c>
      <c r="E92" s="15">
        <v>3049</v>
      </c>
      <c r="F92" s="17">
        <v>1.103</v>
      </c>
      <c r="G92" s="7">
        <v>0</v>
      </c>
      <c r="H92" s="7">
        <v>0</v>
      </c>
      <c r="I92" s="17">
        <v>0.11899999999999999</v>
      </c>
      <c r="J92" s="14">
        <v>0.15</v>
      </c>
      <c r="K92" s="15">
        <v>16</v>
      </c>
      <c r="L92" s="14">
        <v>7.49</v>
      </c>
      <c r="M92" s="14">
        <v>5.26</v>
      </c>
      <c r="N92" s="16">
        <v>4.2</v>
      </c>
      <c r="O92" s="16">
        <v>18.3</v>
      </c>
      <c r="P92" s="15">
        <v>18</v>
      </c>
      <c r="Q92" s="15">
        <v>240</v>
      </c>
      <c r="R92" s="15"/>
    </row>
    <row r="93" spans="1:18" x14ac:dyDescent="0.25">
      <c r="A93" t="s">
        <v>38</v>
      </c>
      <c r="B93">
        <v>2</v>
      </c>
      <c r="C93" s="17">
        <v>6.9000000000000006E-2</v>
      </c>
      <c r="D93" s="17">
        <v>1.9119999999999999</v>
      </c>
      <c r="E93" s="15">
        <v>84</v>
      </c>
      <c r="F93" s="17">
        <v>0.32900000000000001</v>
      </c>
      <c r="G93" s="7">
        <v>7.0000000000000007E-2</v>
      </c>
      <c r="H93" s="7">
        <v>0</v>
      </c>
      <c r="I93" s="17">
        <v>0.40500000000000003</v>
      </c>
      <c r="J93" s="14">
        <v>0.52</v>
      </c>
      <c r="K93" s="15">
        <v>20</v>
      </c>
      <c r="L93" s="14">
        <v>7.05</v>
      </c>
      <c r="M93" s="14">
        <v>7.99</v>
      </c>
      <c r="N93" s="16">
        <v>4.2</v>
      </c>
      <c r="O93" s="16">
        <v>15.4</v>
      </c>
      <c r="P93" s="15">
        <v>16</v>
      </c>
      <c r="Q93" s="15">
        <v>340</v>
      </c>
      <c r="R93" s="15"/>
    </row>
    <row r="94" spans="1:18" x14ac:dyDescent="0.25">
      <c r="A94" t="s">
        <v>39</v>
      </c>
      <c r="B94">
        <v>2</v>
      </c>
      <c r="C94" s="17">
        <v>9.7000000000000003E-2</v>
      </c>
      <c r="D94" s="17">
        <v>0.96199999999999997</v>
      </c>
      <c r="E94" s="16">
        <v>72.3</v>
      </c>
      <c r="F94" s="17">
        <v>0.40699999999999997</v>
      </c>
      <c r="G94" s="7">
        <v>0</v>
      </c>
      <c r="H94" s="7">
        <v>0</v>
      </c>
      <c r="I94" s="17">
        <v>0.252</v>
      </c>
      <c r="J94" s="14">
        <v>0.27</v>
      </c>
      <c r="K94" s="15">
        <v>17</v>
      </c>
      <c r="L94" s="14">
        <v>8.25</v>
      </c>
      <c r="M94" s="14">
        <v>7.03</v>
      </c>
      <c r="N94" s="16">
        <v>4.5999999999999996</v>
      </c>
      <c r="O94" s="16">
        <v>13.6</v>
      </c>
      <c r="P94" s="15">
        <v>17</v>
      </c>
      <c r="Q94" s="15">
        <v>170</v>
      </c>
      <c r="R94" s="15"/>
    </row>
    <row r="95" spans="1:18" x14ac:dyDescent="0.25">
      <c r="A95" t="s">
        <v>40</v>
      </c>
      <c r="B95">
        <v>2</v>
      </c>
      <c r="C95" s="17">
        <v>6.9000000000000006E-2</v>
      </c>
      <c r="D95" s="17">
        <v>0.84399999999999997</v>
      </c>
      <c r="E95" s="16">
        <v>23.4</v>
      </c>
      <c r="F95" s="17">
        <v>0.215</v>
      </c>
      <c r="G95" s="7">
        <v>0</v>
      </c>
      <c r="H95" s="7">
        <v>0</v>
      </c>
      <c r="I95" s="17">
        <v>0.26900000000000002</v>
      </c>
      <c r="J95" s="14">
        <v>0.31</v>
      </c>
      <c r="K95" s="15">
        <v>20</v>
      </c>
      <c r="L95" s="16">
        <v>8.1</v>
      </c>
      <c r="M95" s="16">
        <v>7.9</v>
      </c>
      <c r="N95" s="16">
        <v>4.8</v>
      </c>
      <c r="O95" s="16">
        <v>20.9</v>
      </c>
      <c r="P95" s="15">
        <v>21</v>
      </c>
      <c r="Q95" s="15">
        <v>1100</v>
      </c>
      <c r="R95" s="15"/>
    </row>
    <row r="96" spans="1:18" x14ac:dyDescent="0.25">
      <c r="A96" t="s">
        <v>41</v>
      </c>
      <c r="B96">
        <v>2</v>
      </c>
      <c r="C96" s="17">
        <v>6.7000000000000004E-2</v>
      </c>
      <c r="D96" s="17">
        <v>0.85599999999999998</v>
      </c>
      <c r="E96" s="15">
        <v>610</v>
      </c>
      <c r="F96" s="17">
        <v>0.51500000000000001</v>
      </c>
      <c r="G96" s="7">
        <v>7.0000000000000007E-2</v>
      </c>
      <c r="H96" s="7">
        <v>0</v>
      </c>
      <c r="I96" s="7">
        <v>6.7000000000000004E-2</v>
      </c>
      <c r="J96" s="7">
        <v>0.09</v>
      </c>
      <c r="K96" s="15">
        <v>19</v>
      </c>
      <c r="L96" s="16">
        <v>8.5</v>
      </c>
      <c r="M96" s="14">
        <v>7.24</v>
      </c>
      <c r="N96" s="16">
        <v>4.7</v>
      </c>
      <c r="O96" s="16">
        <v>22.7</v>
      </c>
      <c r="P96" s="15">
        <v>15</v>
      </c>
      <c r="Q96" s="15">
        <v>130</v>
      </c>
      <c r="R96" s="15"/>
    </row>
    <row r="97" spans="1:18" x14ac:dyDescent="0.25">
      <c r="A97" t="s">
        <v>42</v>
      </c>
      <c r="B97">
        <v>2</v>
      </c>
      <c r="C97" s="17">
        <v>1.2E-2</v>
      </c>
      <c r="D97" s="7">
        <v>0</v>
      </c>
      <c r="E97" s="16">
        <v>16.7</v>
      </c>
      <c r="F97" s="7">
        <v>0.1</v>
      </c>
      <c r="G97" s="7">
        <v>0</v>
      </c>
      <c r="H97" s="7">
        <v>0</v>
      </c>
      <c r="I97" s="17">
        <v>6.7000000000000004E-2</v>
      </c>
      <c r="J97" s="7">
        <v>0.09</v>
      </c>
      <c r="K97" s="15">
        <v>4</v>
      </c>
      <c r="L97" s="14">
        <v>8.25</v>
      </c>
      <c r="M97" s="14">
        <v>7.98</v>
      </c>
      <c r="N97" s="16">
        <v>3.4</v>
      </c>
      <c r="O97" s="16">
        <v>13.6</v>
      </c>
      <c r="P97" s="7">
        <v>5</v>
      </c>
      <c r="Q97" s="15">
        <v>91</v>
      </c>
      <c r="R97" s="15"/>
    </row>
    <row r="98" spans="1:18" x14ac:dyDescent="0.25">
      <c r="A98" t="s">
        <v>43</v>
      </c>
      <c r="B98">
        <v>2</v>
      </c>
      <c r="C98" s="17">
        <v>1.7999999999999999E-2</v>
      </c>
      <c r="D98" s="17">
        <v>0.127</v>
      </c>
      <c r="E98" s="7">
        <v>0</v>
      </c>
      <c r="F98" s="7">
        <v>0.1</v>
      </c>
      <c r="G98" s="7">
        <v>0</v>
      </c>
      <c r="H98" s="7">
        <v>0</v>
      </c>
      <c r="I98" s="7">
        <v>6.7000000000000004E-2</v>
      </c>
      <c r="J98" s="7">
        <v>0.09</v>
      </c>
      <c r="K98" s="15">
        <v>3</v>
      </c>
      <c r="L98" s="14">
        <v>8.15</v>
      </c>
      <c r="M98" s="14">
        <v>8.39</v>
      </c>
      <c r="N98" s="16">
        <v>5.2</v>
      </c>
      <c r="O98" s="16">
        <v>12.3</v>
      </c>
      <c r="P98" s="15">
        <v>5</v>
      </c>
      <c r="Q98" s="15">
        <v>120</v>
      </c>
      <c r="R98" s="15"/>
    </row>
    <row r="99" spans="1:18" x14ac:dyDescent="0.25">
      <c r="A99" t="s">
        <v>44</v>
      </c>
      <c r="B99">
        <v>2</v>
      </c>
      <c r="C99" s="7">
        <v>0.01</v>
      </c>
      <c r="D99" s="7">
        <v>0</v>
      </c>
      <c r="E99" s="7">
        <v>10</v>
      </c>
      <c r="F99" s="7">
        <v>0</v>
      </c>
      <c r="G99" s="7">
        <v>0</v>
      </c>
      <c r="H99" s="7">
        <v>0</v>
      </c>
      <c r="I99" s="7">
        <v>6.7000000000000004E-2</v>
      </c>
      <c r="J99" s="14">
        <v>0.12</v>
      </c>
      <c r="K99" s="15">
        <v>10</v>
      </c>
      <c r="L99" s="14">
        <v>8.15</v>
      </c>
      <c r="M99" s="14">
        <v>9.02</v>
      </c>
      <c r="N99" s="16">
        <v>6.1</v>
      </c>
      <c r="O99" s="15">
        <v>14</v>
      </c>
      <c r="P99" s="7">
        <v>5</v>
      </c>
      <c r="Q99" s="15">
        <v>200</v>
      </c>
      <c r="R99" s="15"/>
    </row>
    <row r="100" spans="1:18" x14ac:dyDescent="0.25">
      <c r="A100" t="s">
        <v>45</v>
      </c>
      <c r="B100">
        <v>2</v>
      </c>
      <c r="C100" s="17">
        <v>2.5999999999999999E-2</v>
      </c>
      <c r="D100" s="14">
        <v>0.26</v>
      </c>
      <c r="E100" s="7">
        <v>10</v>
      </c>
      <c r="F100" s="7">
        <v>0</v>
      </c>
      <c r="G100" s="7">
        <v>0</v>
      </c>
      <c r="H100" s="7">
        <v>0</v>
      </c>
      <c r="I100" s="7">
        <v>6.7000000000000004E-2</v>
      </c>
      <c r="J100" s="7">
        <v>0.09</v>
      </c>
      <c r="K100" s="15">
        <v>6</v>
      </c>
      <c r="L100" s="14">
        <v>8.32</v>
      </c>
      <c r="M100" s="14">
        <v>7.24</v>
      </c>
      <c r="N100" s="16">
        <v>3.9</v>
      </c>
      <c r="O100" s="16">
        <v>8.1</v>
      </c>
      <c r="P100" s="15">
        <v>16</v>
      </c>
      <c r="Q100" s="15">
        <v>140</v>
      </c>
      <c r="R100" s="15"/>
    </row>
    <row r="101" spans="1:18" x14ac:dyDescent="0.25">
      <c r="A101" t="s">
        <v>46</v>
      </c>
      <c r="B101">
        <v>2</v>
      </c>
      <c r="C101" s="17">
        <v>3.3000000000000002E-2</v>
      </c>
      <c r="D101" s="17">
        <v>0.246</v>
      </c>
      <c r="E101" s="7">
        <v>10</v>
      </c>
      <c r="F101" s="7">
        <v>0.1</v>
      </c>
      <c r="G101" s="7">
        <v>0</v>
      </c>
      <c r="H101" s="7">
        <v>0</v>
      </c>
      <c r="I101" s="7">
        <v>6.7000000000000004E-2</v>
      </c>
      <c r="J101" s="17">
        <v>0.223</v>
      </c>
      <c r="K101" s="15">
        <v>7</v>
      </c>
      <c r="L101" s="14">
        <v>9.24</v>
      </c>
      <c r="M101" s="14">
        <v>11.85</v>
      </c>
      <c r="N101" s="16">
        <v>5.0999999999999996</v>
      </c>
      <c r="O101" s="16">
        <v>11.8</v>
      </c>
      <c r="P101" s="15">
        <v>19</v>
      </c>
      <c r="Q101" s="15">
        <v>83</v>
      </c>
      <c r="R101" s="15"/>
    </row>
    <row r="102" spans="1:18" x14ac:dyDescent="0.25">
      <c r="A102" t="s">
        <v>47</v>
      </c>
      <c r="B102">
        <v>2</v>
      </c>
      <c r="C102" s="19">
        <v>0.01</v>
      </c>
      <c r="D102" s="20">
        <v>0.13200000000000001</v>
      </c>
      <c r="E102" s="18">
        <v>21.6</v>
      </c>
      <c r="F102" s="19">
        <v>0</v>
      </c>
      <c r="G102" s="19">
        <v>0</v>
      </c>
      <c r="H102" s="19">
        <v>0</v>
      </c>
      <c r="I102" s="19">
        <v>0</v>
      </c>
      <c r="J102" s="21">
        <v>0.15</v>
      </c>
      <c r="K102" s="15">
        <v>12</v>
      </c>
      <c r="L102" s="14">
        <v>8.76</v>
      </c>
      <c r="M102" s="14">
        <v>9.8699999999999992</v>
      </c>
      <c r="N102" s="16">
        <v>5.6</v>
      </c>
      <c r="O102" s="16">
        <v>31.5</v>
      </c>
      <c r="P102" s="15">
        <v>18</v>
      </c>
      <c r="Q102" s="15">
        <v>1350</v>
      </c>
      <c r="R102" s="15"/>
    </row>
    <row r="103" spans="1:18" x14ac:dyDescent="0.25">
      <c r="A103" t="s">
        <v>48</v>
      </c>
      <c r="B103">
        <v>2</v>
      </c>
      <c r="C103" s="20">
        <v>7.8E-2</v>
      </c>
      <c r="D103" s="21">
        <v>0.99</v>
      </c>
      <c r="E103" s="22">
        <v>21</v>
      </c>
      <c r="F103" s="19">
        <v>0</v>
      </c>
      <c r="G103" s="19">
        <v>7.0000000000000007E-2</v>
      </c>
      <c r="H103" s="19">
        <v>0</v>
      </c>
      <c r="I103" s="20">
        <v>0.17399999999999999</v>
      </c>
      <c r="J103" s="21">
        <v>0.38</v>
      </c>
      <c r="K103" s="15">
        <v>11</v>
      </c>
      <c r="L103" s="14">
        <v>7.98</v>
      </c>
      <c r="M103" s="14">
        <v>5.59</v>
      </c>
      <c r="N103" s="16">
        <v>7.4</v>
      </c>
      <c r="O103" s="16">
        <v>27.7</v>
      </c>
      <c r="P103" s="15">
        <v>13</v>
      </c>
      <c r="Q103" s="15">
        <v>1200</v>
      </c>
      <c r="R103" s="15"/>
    </row>
    <row r="104" spans="1:18" x14ac:dyDescent="0.25">
      <c r="A104" t="s">
        <v>49</v>
      </c>
      <c r="B104">
        <v>2</v>
      </c>
      <c r="C104" s="19">
        <v>0.01</v>
      </c>
      <c r="D104" s="21">
        <v>23.64</v>
      </c>
      <c r="E104" s="18">
        <v>37.6</v>
      </c>
      <c r="F104" s="20">
        <v>0.23</v>
      </c>
      <c r="G104" s="19">
        <v>0</v>
      </c>
      <c r="H104" s="19">
        <v>0</v>
      </c>
      <c r="I104" s="20">
        <v>0.438</v>
      </c>
      <c r="J104" s="21">
        <v>1.04</v>
      </c>
      <c r="K104" s="15">
        <v>117</v>
      </c>
      <c r="L104" s="14">
        <v>7.63</v>
      </c>
      <c r="M104" s="14">
        <v>2.8</v>
      </c>
      <c r="N104" s="16">
        <v>9.5</v>
      </c>
      <c r="O104" s="16">
        <v>39.799999999999997</v>
      </c>
      <c r="P104" s="15">
        <v>21</v>
      </c>
      <c r="Q104" s="15">
        <v>2800</v>
      </c>
      <c r="R104" s="15"/>
    </row>
    <row r="105" spans="1:18" x14ac:dyDescent="0.25">
      <c r="A105" t="s">
        <v>50</v>
      </c>
      <c r="B105">
        <v>2</v>
      </c>
      <c r="C105" s="18">
        <v>0.5</v>
      </c>
      <c r="D105" s="21">
        <v>6.28</v>
      </c>
      <c r="E105" s="22">
        <v>61</v>
      </c>
      <c r="F105" s="21">
        <v>1.32</v>
      </c>
      <c r="G105" s="19">
        <v>0</v>
      </c>
      <c r="H105" s="19">
        <v>0</v>
      </c>
      <c r="I105" s="20">
        <v>0.624</v>
      </c>
      <c r="J105" s="21">
        <v>1.76</v>
      </c>
      <c r="K105" s="15">
        <v>120</v>
      </c>
      <c r="L105" s="14">
        <v>7.48</v>
      </c>
      <c r="M105" s="14">
        <v>3.5</v>
      </c>
      <c r="N105" s="16">
        <v>8.6999999999999993</v>
      </c>
      <c r="O105" s="16">
        <v>27.7</v>
      </c>
      <c r="P105" s="15">
        <v>22</v>
      </c>
      <c r="Q105" s="15">
        <v>1200</v>
      </c>
      <c r="R105" s="15"/>
    </row>
    <row r="106" spans="1:18" x14ac:dyDescent="0.25">
      <c r="A106" t="s">
        <v>51</v>
      </c>
      <c r="B106">
        <v>2</v>
      </c>
      <c r="C106" s="20">
        <v>0.22900000000000001</v>
      </c>
      <c r="D106" s="21">
        <v>8.92</v>
      </c>
      <c r="E106" s="22">
        <v>75</v>
      </c>
      <c r="F106" s="20">
        <v>0.17899999999999999</v>
      </c>
      <c r="G106" s="19">
        <v>7.0000000000000007E-2</v>
      </c>
      <c r="H106" s="19">
        <v>0</v>
      </c>
      <c r="I106" s="18">
        <v>0.3</v>
      </c>
      <c r="J106" s="21">
        <v>1.17</v>
      </c>
      <c r="K106" s="15">
        <v>21</v>
      </c>
      <c r="L106" s="14">
        <v>8.52</v>
      </c>
      <c r="M106" s="14">
        <v>8.3000000000000007</v>
      </c>
      <c r="N106" s="16">
        <v>6.9</v>
      </c>
      <c r="O106" s="15">
        <v>37</v>
      </c>
      <c r="P106" s="15">
        <v>19</v>
      </c>
      <c r="Q106" s="15">
        <v>2400</v>
      </c>
      <c r="R106" s="15"/>
    </row>
    <row r="107" spans="1:18" x14ac:dyDescent="0.25">
      <c r="A107" t="s">
        <v>52</v>
      </c>
      <c r="B107">
        <v>2</v>
      </c>
      <c r="C107" s="20">
        <v>0.89600000000000002</v>
      </c>
      <c r="D107" s="21">
        <v>12.78</v>
      </c>
      <c r="E107" s="22">
        <v>61</v>
      </c>
      <c r="F107" s="21">
        <v>0.19</v>
      </c>
      <c r="G107" s="19">
        <v>7.0000000000000007E-2</v>
      </c>
      <c r="H107" s="19">
        <v>0</v>
      </c>
      <c r="I107" s="19">
        <v>6.7000000000000004E-2</v>
      </c>
      <c r="J107" s="21">
        <v>0.47</v>
      </c>
      <c r="K107" s="15">
        <v>9</v>
      </c>
      <c r="L107" s="14">
        <v>8.56</v>
      </c>
      <c r="M107" s="14">
        <v>10.35</v>
      </c>
      <c r="N107" s="16">
        <v>7.7</v>
      </c>
      <c r="O107" s="16">
        <v>28.7</v>
      </c>
      <c r="P107" s="15">
        <v>17</v>
      </c>
      <c r="Q107" s="15">
        <v>1700</v>
      </c>
      <c r="R107" s="15"/>
    </row>
    <row r="108" spans="1:18" ht="16.5" x14ac:dyDescent="0.25">
      <c r="A108" t="s">
        <v>0</v>
      </c>
      <c r="B108">
        <v>3</v>
      </c>
      <c r="C108" s="7">
        <v>0.01</v>
      </c>
      <c r="D108" s="7">
        <v>0</v>
      </c>
      <c r="E108" s="7">
        <v>0</v>
      </c>
      <c r="F108" s="7">
        <v>0</v>
      </c>
      <c r="G108" s="23">
        <v>7.0000000000000001E-3</v>
      </c>
      <c r="H108" s="7">
        <v>0</v>
      </c>
      <c r="I108" s="7">
        <v>0</v>
      </c>
      <c r="J108" s="7">
        <v>0.09</v>
      </c>
      <c r="K108" s="7">
        <v>0</v>
      </c>
      <c r="L108" s="14">
        <v>7.15</v>
      </c>
      <c r="M108" s="14">
        <v>7.58</v>
      </c>
      <c r="N108" s="7">
        <v>3.3</v>
      </c>
      <c r="O108" s="16">
        <v>7.3</v>
      </c>
      <c r="P108" s="24">
        <v>5</v>
      </c>
      <c r="Q108" s="15">
        <v>100</v>
      </c>
      <c r="R108" s="25"/>
    </row>
    <row r="109" spans="1:18" ht="16.5" x14ac:dyDescent="0.25">
      <c r="A109" t="s">
        <v>1</v>
      </c>
      <c r="B109">
        <v>3</v>
      </c>
      <c r="C109" s="14">
        <v>0.02</v>
      </c>
      <c r="D109" s="7">
        <v>0.09</v>
      </c>
      <c r="E109" s="7">
        <v>0</v>
      </c>
      <c r="F109" s="7">
        <v>0</v>
      </c>
      <c r="G109" s="7">
        <v>7.0000000000000001E-3</v>
      </c>
      <c r="H109" s="7">
        <v>7.0000000000000001E-3</v>
      </c>
      <c r="I109" s="7">
        <v>6.7000000000000004E-2</v>
      </c>
      <c r="J109" s="14">
        <v>0.59</v>
      </c>
      <c r="K109" s="15">
        <v>46</v>
      </c>
      <c r="L109" s="14">
        <v>7.05</v>
      </c>
      <c r="M109" s="14">
        <v>6.81</v>
      </c>
      <c r="N109" s="16">
        <v>5.5</v>
      </c>
      <c r="O109" s="16">
        <v>10.9</v>
      </c>
      <c r="P109" s="26">
        <v>132</v>
      </c>
      <c r="Q109" s="15">
        <v>93</v>
      </c>
      <c r="R109" s="25"/>
    </row>
    <row r="110" spans="1:18" ht="16.5" x14ac:dyDescent="0.25">
      <c r="A110" t="s">
        <v>3</v>
      </c>
      <c r="B110">
        <v>3</v>
      </c>
      <c r="C110" s="17">
        <v>4.1000000000000002E-2</v>
      </c>
      <c r="D110" s="7">
        <v>0.09</v>
      </c>
      <c r="E110" s="7">
        <v>10</v>
      </c>
      <c r="F110" s="7">
        <v>0</v>
      </c>
      <c r="G110" s="17">
        <v>1.4999999999999999E-2</v>
      </c>
      <c r="H110" s="7">
        <v>7.0000000000000001E-3</v>
      </c>
      <c r="I110" s="7">
        <v>6.7000000000000004E-2</v>
      </c>
      <c r="J110" s="14">
        <v>0.91</v>
      </c>
      <c r="K110" s="15">
        <v>26</v>
      </c>
      <c r="L110" s="14">
        <v>7.11</v>
      </c>
      <c r="M110" s="14">
        <v>6.85</v>
      </c>
      <c r="N110" s="16">
        <v>5.3</v>
      </c>
      <c r="O110" s="16">
        <v>15.7</v>
      </c>
      <c r="P110" s="26">
        <v>110</v>
      </c>
      <c r="Q110" s="15">
        <v>120</v>
      </c>
      <c r="R110" s="25"/>
    </row>
    <row r="111" spans="1:18" ht="16.5" x14ac:dyDescent="0.25">
      <c r="A111" t="s">
        <v>5</v>
      </c>
      <c r="B111">
        <v>3</v>
      </c>
      <c r="C111" s="17">
        <v>2.4E-2</v>
      </c>
      <c r="D111" s="7">
        <v>0.09</v>
      </c>
      <c r="E111" s="7">
        <v>10</v>
      </c>
      <c r="F111" s="7">
        <v>0</v>
      </c>
      <c r="G111" s="7">
        <v>7.0000000000000001E-3</v>
      </c>
      <c r="H111" s="7">
        <v>0</v>
      </c>
      <c r="I111" s="17">
        <v>0.13400000000000001</v>
      </c>
      <c r="J111" s="14">
        <v>0.97</v>
      </c>
      <c r="K111" s="15">
        <v>15</v>
      </c>
      <c r="L111" s="14">
        <v>8.17</v>
      </c>
      <c r="M111" s="14">
        <v>6.51</v>
      </c>
      <c r="N111" s="16">
        <v>3.4</v>
      </c>
      <c r="O111" s="16">
        <v>7.8</v>
      </c>
      <c r="P111" s="26">
        <v>61</v>
      </c>
      <c r="Q111" s="15">
        <v>185</v>
      </c>
      <c r="R111" s="25"/>
    </row>
    <row r="112" spans="1:18" ht="16.5" x14ac:dyDescent="0.25">
      <c r="A112" t="s">
        <v>4</v>
      </c>
      <c r="B112">
        <v>3</v>
      </c>
      <c r="C112" s="17">
        <v>1.4999999999999999E-2</v>
      </c>
      <c r="D112" s="7">
        <v>0.09</v>
      </c>
      <c r="E112" s="7">
        <v>10</v>
      </c>
      <c r="F112" s="7">
        <v>0</v>
      </c>
      <c r="G112" s="7">
        <v>0</v>
      </c>
      <c r="H112" s="7">
        <v>7.0000000000000001E-3</v>
      </c>
      <c r="I112" s="7">
        <v>6.7000000000000004E-2</v>
      </c>
      <c r="J112" s="14">
        <v>0.62</v>
      </c>
      <c r="K112" s="15">
        <v>48</v>
      </c>
      <c r="L112" s="14">
        <v>7.28</v>
      </c>
      <c r="M112" s="14">
        <v>7.39</v>
      </c>
      <c r="N112" s="7">
        <v>3.3</v>
      </c>
      <c r="O112" s="16">
        <v>8.8000000000000007</v>
      </c>
      <c r="P112" s="26">
        <v>83</v>
      </c>
      <c r="Q112" s="15">
        <v>130</v>
      </c>
      <c r="R112" s="25"/>
    </row>
    <row r="113" spans="1:18" ht="16.5" x14ac:dyDescent="0.25">
      <c r="A113" t="s">
        <v>2</v>
      </c>
      <c r="B113">
        <v>3</v>
      </c>
      <c r="C113" s="17">
        <v>6.4000000000000001E-2</v>
      </c>
      <c r="D113" s="17">
        <v>0.28299999999999997</v>
      </c>
      <c r="E113" s="7">
        <v>10</v>
      </c>
      <c r="F113" s="7">
        <v>0</v>
      </c>
      <c r="G113" s="7">
        <v>7.0000000000000001E-3</v>
      </c>
      <c r="H113" s="7">
        <v>7.0000000000000001E-3</v>
      </c>
      <c r="I113" s="17">
        <v>0.223</v>
      </c>
      <c r="J113" s="14">
        <v>1.23</v>
      </c>
      <c r="K113" s="15">
        <v>32</v>
      </c>
      <c r="L113" s="14">
        <v>6.88</v>
      </c>
      <c r="M113" s="14">
        <v>5.34</v>
      </c>
      <c r="N113" s="16">
        <v>6.2</v>
      </c>
      <c r="O113" s="16">
        <v>17.600000000000001</v>
      </c>
      <c r="P113" s="26">
        <v>69</v>
      </c>
      <c r="Q113" s="15">
        <v>480</v>
      </c>
      <c r="R113" s="25"/>
    </row>
    <row r="114" spans="1:18" ht="16.5" x14ac:dyDescent="0.25">
      <c r="A114" t="s">
        <v>6</v>
      </c>
      <c r="B114">
        <v>3</v>
      </c>
      <c r="C114" s="17">
        <v>3.9E-2</v>
      </c>
      <c r="D114" s="7">
        <v>0.09</v>
      </c>
      <c r="E114" s="7">
        <v>10</v>
      </c>
      <c r="F114" s="7">
        <v>0.1</v>
      </c>
      <c r="G114" s="7">
        <v>0</v>
      </c>
      <c r="H114" s="7">
        <v>7.0000000000000001E-3</v>
      </c>
      <c r="I114" s="7">
        <v>6.7000000000000004E-2</v>
      </c>
      <c r="J114" s="14">
        <v>0.62</v>
      </c>
      <c r="K114" s="15">
        <v>11</v>
      </c>
      <c r="L114" s="14">
        <v>7.27</v>
      </c>
      <c r="M114" s="14">
        <v>7.14</v>
      </c>
      <c r="N114" s="16">
        <v>3.8</v>
      </c>
      <c r="O114" s="16">
        <v>11.1</v>
      </c>
      <c r="P114" s="26">
        <v>87</v>
      </c>
      <c r="Q114" s="15">
        <v>210</v>
      </c>
      <c r="R114" s="25"/>
    </row>
    <row r="115" spans="1:18" ht="16.5" x14ac:dyDescent="0.25">
      <c r="A115" t="s">
        <v>7</v>
      </c>
      <c r="B115">
        <v>3</v>
      </c>
      <c r="C115" s="7">
        <v>0.01</v>
      </c>
      <c r="D115" s="7">
        <v>0</v>
      </c>
      <c r="E115" s="7">
        <v>0</v>
      </c>
      <c r="F115" s="7">
        <v>0</v>
      </c>
      <c r="G115" s="7">
        <v>7.0000000000000001E-3</v>
      </c>
      <c r="H115" s="17">
        <v>8.9999999999999993E-3</v>
      </c>
      <c r="I115" s="17">
        <v>0.19500000000000001</v>
      </c>
      <c r="J115" s="14">
        <v>0.74</v>
      </c>
      <c r="K115" s="15">
        <v>11</v>
      </c>
      <c r="L115" s="14">
        <v>7.71</v>
      </c>
      <c r="M115" s="14">
        <v>7.75</v>
      </c>
      <c r="N115" s="16">
        <v>5.7</v>
      </c>
      <c r="O115" s="16">
        <v>7.8</v>
      </c>
      <c r="P115" s="15">
        <v>246</v>
      </c>
      <c r="Q115" s="15">
        <v>93</v>
      </c>
      <c r="R115" s="25"/>
    </row>
    <row r="116" spans="1:18" ht="16.5" x14ac:dyDescent="0.25">
      <c r="A116" t="s">
        <v>8</v>
      </c>
      <c r="B116">
        <v>3</v>
      </c>
      <c r="C116" s="7">
        <v>0.01</v>
      </c>
      <c r="D116" s="7">
        <v>0.09</v>
      </c>
      <c r="E116" s="7">
        <v>10</v>
      </c>
      <c r="F116" s="7">
        <v>0</v>
      </c>
      <c r="G116" s="7">
        <v>7.0000000000000001E-3</v>
      </c>
      <c r="H116" s="7">
        <v>7.0000000000000001E-3</v>
      </c>
      <c r="I116" s="7">
        <v>6.7000000000000004E-2</v>
      </c>
      <c r="J116" s="14">
        <v>0.39</v>
      </c>
      <c r="K116" s="15">
        <v>14</v>
      </c>
      <c r="L116" s="14">
        <v>7.28</v>
      </c>
      <c r="M116" s="14">
        <v>6.97</v>
      </c>
      <c r="N116" s="7">
        <v>3.3</v>
      </c>
      <c r="O116" s="16">
        <v>9.1</v>
      </c>
      <c r="P116" s="15">
        <v>88</v>
      </c>
      <c r="Q116" s="15">
        <v>120</v>
      </c>
      <c r="R116" s="25"/>
    </row>
    <row r="117" spans="1:18" ht="16.5" x14ac:dyDescent="0.25">
      <c r="A117" t="s">
        <v>9</v>
      </c>
      <c r="B117">
        <v>3</v>
      </c>
      <c r="C117" s="14">
        <v>0.01</v>
      </c>
      <c r="D117" s="7">
        <v>0.09</v>
      </c>
      <c r="E117" s="7">
        <v>0</v>
      </c>
      <c r="F117" s="7">
        <v>0</v>
      </c>
      <c r="G117" s="7">
        <v>7.0000000000000001E-3</v>
      </c>
      <c r="H117" s="7">
        <v>7.0000000000000001E-3</v>
      </c>
      <c r="I117" s="7">
        <v>6.7000000000000004E-2</v>
      </c>
      <c r="J117" s="14">
        <v>0.25</v>
      </c>
      <c r="K117" s="15">
        <v>4</v>
      </c>
      <c r="L117" s="14">
        <v>6.92</v>
      </c>
      <c r="M117" s="14">
        <v>6.26</v>
      </c>
      <c r="N117" s="7">
        <v>3.3</v>
      </c>
      <c r="O117" s="16">
        <v>11.8</v>
      </c>
      <c r="P117" s="15">
        <v>62</v>
      </c>
      <c r="Q117" s="15">
        <v>110</v>
      </c>
      <c r="R117" s="25"/>
    </row>
    <row r="118" spans="1:18" ht="16.5" x14ac:dyDescent="0.25">
      <c r="A118" t="s">
        <v>10</v>
      </c>
      <c r="B118">
        <v>3</v>
      </c>
      <c r="C118" s="17">
        <v>2.5999999999999999E-2</v>
      </c>
      <c r="D118" s="7">
        <v>0.09</v>
      </c>
      <c r="E118" s="7">
        <v>10</v>
      </c>
      <c r="F118" s="7">
        <v>0</v>
      </c>
      <c r="G118" s="7">
        <v>0</v>
      </c>
      <c r="H118" s="7">
        <v>7.0000000000000001E-3</v>
      </c>
      <c r="I118" s="7">
        <v>6.7000000000000004E-2</v>
      </c>
      <c r="J118" s="14">
        <v>0.47</v>
      </c>
      <c r="K118" s="15">
        <v>26</v>
      </c>
      <c r="L118" s="14">
        <v>6.98</v>
      </c>
      <c r="M118" s="14">
        <v>6.91</v>
      </c>
      <c r="N118" s="16">
        <v>3.9</v>
      </c>
      <c r="O118" s="15">
        <v>12</v>
      </c>
      <c r="P118" s="15">
        <v>81</v>
      </c>
      <c r="Q118" s="15">
        <v>260</v>
      </c>
      <c r="R118" s="25"/>
    </row>
    <row r="119" spans="1:18" ht="16.5" x14ac:dyDescent="0.25">
      <c r="A119" t="s">
        <v>11</v>
      </c>
      <c r="B119">
        <v>3</v>
      </c>
      <c r="C119" s="14">
        <v>0.16</v>
      </c>
      <c r="D119" s="17">
        <v>0.28399999999999997</v>
      </c>
      <c r="E119" s="7">
        <v>10</v>
      </c>
      <c r="F119" s="7">
        <v>0.1</v>
      </c>
      <c r="G119" s="17">
        <v>8.9999999999999993E-3</v>
      </c>
      <c r="H119" s="7">
        <v>7.0000000000000001E-3</v>
      </c>
      <c r="I119" s="17">
        <v>0.20599999999999999</v>
      </c>
      <c r="J119" s="14">
        <v>1.02</v>
      </c>
      <c r="K119" s="15">
        <v>46</v>
      </c>
      <c r="L119" s="14">
        <v>7.17</v>
      </c>
      <c r="M119" s="14">
        <v>6.82</v>
      </c>
      <c r="N119" s="16">
        <v>4.3</v>
      </c>
      <c r="O119" s="16">
        <v>13.9</v>
      </c>
      <c r="P119" s="15">
        <v>83</v>
      </c>
      <c r="Q119" s="15">
        <v>140</v>
      </c>
      <c r="R119" s="25"/>
    </row>
    <row r="120" spans="1:18" ht="16.5" x14ac:dyDescent="0.25">
      <c r="A120" t="s">
        <v>12</v>
      </c>
      <c r="B120">
        <v>3</v>
      </c>
      <c r="C120" s="17">
        <v>2.4E-2</v>
      </c>
      <c r="D120" s="7">
        <v>0.09</v>
      </c>
      <c r="E120" s="15">
        <v>174</v>
      </c>
      <c r="F120" s="7">
        <v>0</v>
      </c>
      <c r="G120" s="7">
        <v>7.0000000000000001E-3</v>
      </c>
      <c r="H120" s="7">
        <v>0</v>
      </c>
      <c r="I120" s="17">
        <v>0.24199999999999999</v>
      </c>
      <c r="J120" s="14">
        <v>3.87</v>
      </c>
      <c r="K120" s="15">
        <v>27</v>
      </c>
      <c r="L120" s="14">
        <v>8.07</v>
      </c>
      <c r="M120" s="14">
        <v>6.91</v>
      </c>
      <c r="N120" s="16">
        <v>6.2</v>
      </c>
      <c r="O120" s="16">
        <v>16.3</v>
      </c>
      <c r="P120" s="15">
        <v>620</v>
      </c>
      <c r="Q120" s="15">
        <v>400</v>
      </c>
      <c r="R120" s="25"/>
    </row>
    <row r="121" spans="1:18" ht="16.5" x14ac:dyDescent="0.25">
      <c r="A121" t="s">
        <v>13</v>
      </c>
      <c r="B121">
        <v>3</v>
      </c>
      <c r="C121" s="17">
        <v>3.7999999999999999E-2</v>
      </c>
      <c r="D121" s="14">
        <v>0.09</v>
      </c>
      <c r="E121" s="16">
        <v>16.7</v>
      </c>
      <c r="F121" s="17">
        <v>0.13500000000000001</v>
      </c>
      <c r="G121" s="7">
        <v>7.0000000000000001E-3</v>
      </c>
      <c r="H121" s="7">
        <v>0</v>
      </c>
      <c r="I121" s="17">
        <v>0.16800000000000001</v>
      </c>
      <c r="J121" s="14">
        <v>1.58</v>
      </c>
      <c r="K121" s="15">
        <v>20</v>
      </c>
      <c r="L121" s="14">
        <v>7.47</v>
      </c>
      <c r="M121" s="14">
        <v>4.5599999999999996</v>
      </c>
      <c r="N121" s="16">
        <v>7.1</v>
      </c>
      <c r="O121" s="16">
        <v>22.7</v>
      </c>
      <c r="P121" s="15">
        <v>58</v>
      </c>
      <c r="Q121" s="15">
        <v>780</v>
      </c>
      <c r="R121" s="25"/>
    </row>
    <row r="122" spans="1:18" ht="16.5" x14ac:dyDescent="0.25">
      <c r="A122" t="s">
        <v>14</v>
      </c>
      <c r="B122">
        <v>3</v>
      </c>
      <c r="C122" s="17">
        <v>0.10199999999999999</v>
      </c>
      <c r="D122" s="17">
        <v>1.1479999999999999</v>
      </c>
      <c r="E122" s="16">
        <v>21.6</v>
      </c>
      <c r="F122" s="17">
        <v>0.14599999999999999</v>
      </c>
      <c r="G122" s="7">
        <v>7.0000000000000001E-3</v>
      </c>
      <c r="H122" s="7">
        <v>0</v>
      </c>
      <c r="I122" s="17">
        <v>0.251</v>
      </c>
      <c r="J122" s="14">
        <v>0.89</v>
      </c>
      <c r="K122" s="15">
        <v>15</v>
      </c>
      <c r="L122" s="14">
        <v>7.19</v>
      </c>
      <c r="M122" s="14">
        <v>3.91</v>
      </c>
      <c r="N122" s="16">
        <v>5.6</v>
      </c>
      <c r="O122" s="16">
        <v>24.5</v>
      </c>
      <c r="P122" s="15">
        <v>55</v>
      </c>
      <c r="Q122" s="15">
        <v>920</v>
      </c>
      <c r="R122" s="25"/>
    </row>
    <row r="123" spans="1:18" ht="16.5" x14ac:dyDescent="0.25">
      <c r="A123" t="s">
        <v>15</v>
      </c>
      <c r="B123">
        <v>3</v>
      </c>
      <c r="C123" s="17">
        <v>0.106</v>
      </c>
      <c r="D123" s="14">
        <v>1.56</v>
      </c>
      <c r="E123" s="16">
        <v>51.8</v>
      </c>
      <c r="F123" s="17">
        <v>0.20399999999999999</v>
      </c>
      <c r="G123" s="7">
        <v>7.0000000000000001E-3</v>
      </c>
      <c r="H123" s="7">
        <v>0</v>
      </c>
      <c r="I123" s="17">
        <v>0.26600000000000001</v>
      </c>
      <c r="J123" s="14">
        <v>0.67</v>
      </c>
      <c r="K123" s="15">
        <v>8</v>
      </c>
      <c r="L123" s="14">
        <v>7.49</v>
      </c>
      <c r="M123" s="14">
        <v>4.75</v>
      </c>
      <c r="N123" s="15">
        <v>7</v>
      </c>
      <c r="O123" s="16">
        <v>18.100000000000001</v>
      </c>
      <c r="P123" s="15">
        <v>26</v>
      </c>
      <c r="Q123" s="15">
        <v>550</v>
      </c>
      <c r="R123" s="25"/>
    </row>
    <row r="124" spans="1:18" ht="16.5" x14ac:dyDescent="0.25">
      <c r="A124" t="s">
        <v>16</v>
      </c>
      <c r="B124">
        <v>3</v>
      </c>
      <c r="C124" s="14">
        <v>0.11</v>
      </c>
      <c r="D124" s="17">
        <v>0.59699999999999998</v>
      </c>
      <c r="E124" s="15">
        <v>1063</v>
      </c>
      <c r="F124" s="7">
        <v>0.1</v>
      </c>
      <c r="G124" s="17">
        <v>8.0000000000000002E-3</v>
      </c>
      <c r="H124" s="7">
        <v>0</v>
      </c>
      <c r="I124" s="7">
        <v>6.7000000000000004E-2</v>
      </c>
      <c r="J124" s="16">
        <v>0.6</v>
      </c>
      <c r="K124" s="15">
        <v>46</v>
      </c>
      <c r="L124" s="14">
        <v>7.11</v>
      </c>
      <c r="M124" s="14">
        <v>5.26</v>
      </c>
      <c r="N124" s="16">
        <v>4.3</v>
      </c>
      <c r="O124" s="16">
        <v>19.399999999999999</v>
      </c>
      <c r="P124" s="15">
        <v>53</v>
      </c>
      <c r="Q124" s="15">
        <v>645</v>
      </c>
      <c r="R124" s="25"/>
    </row>
    <row r="125" spans="1:18" ht="16.5" x14ac:dyDescent="0.25">
      <c r="A125" t="s">
        <v>17</v>
      </c>
      <c r="B125">
        <v>3</v>
      </c>
      <c r="C125" s="17">
        <v>2.3E-2</v>
      </c>
      <c r="D125" s="7">
        <v>0.09</v>
      </c>
      <c r="E125" s="15">
        <v>447</v>
      </c>
      <c r="F125" s="7">
        <v>0.1</v>
      </c>
      <c r="G125" s="7">
        <v>7.0000000000000001E-3</v>
      </c>
      <c r="H125" s="7">
        <v>0</v>
      </c>
      <c r="I125" s="7">
        <v>6.7000000000000004E-2</v>
      </c>
      <c r="J125" s="14">
        <v>0.44</v>
      </c>
      <c r="K125" s="15">
        <v>40</v>
      </c>
      <c r="L125" s="14">
        <v>7.06</v>
      </c>
      <c r="M125" s="14">
        <v>6.75</v>
      </c>
      <c r="N125" s="16">
        <v>3.7</v>
      </c>
      <c r="O125" s="16">
        <v>17.5</v>
      </c>
      <c r="P125" s="15">
        <v>56</v>
      </c>
      <c r="Q125" s="15">
        <v>450</v>
      </c>
      <c r="R125" s="25"/>
    </row>
    <row r="126" spans="1:18" ht="16.5" x14ac:dyDescent="0.25">
      <c r="A126" t="s">
        <v>18</v>
      </c>
      <c r="B126">
        <v>3</v>
      </c>
      <c r="C126" s="17">
        <v>2.5999999999999999E-2</v>
      </c>
      <c r="D126" s="7">
        <v>0.09</v>
      </c>
      <c r="E126" s="7">
        <v>0</v>
      </c>
      <c r="F126" s="7">
        <v>0.1</v>
      </c>
      <c r="G126" s="7">
        <v>7.0000000000000001E-3</v>
      </c>
      <c r="H126" s="7">
        <v>0</v>
      </c>
      <c r="I126" s="7">
        <v>6.7000000000000004E-2</v>
      </c>
      <c r="J126" s="14">
        <v>0.52</v>
      </c>
      <c r="K126" s="15">
        <v>12</v>
      </c>
      <c r="L126" s="16">
        <v>8</v>
      </c>
      <c r="M126" s="14">
        <v>7.05</v>
      </c>
      <c r="N126" s="7">
        <v>3.3</v>
      </c>
      <c r="O126" s="7">
        <v>6.7</v>
      </c>
      <c r="P126" s="15">
        <v>84</v>
      </c>
      <c r="Q126" s="15">
        <v>140</v>
      </c>
      <c r="R126" s="25"/>
    </row>
    <row r="127" spans="1:18" ht="16.5" x14ac:dyDescent="0.25">
      <c r="A127" t="s">
        <v>19</v>
      </c>
      <c r="B127">
        <v>3</v>
      </c>
      <c r="C127" s="7">
        <v>0</v>
      </c>
      <c r="D127" s="7">
        <v>0.09</v>
      </c>
      <c r="E127" s="7">
        <v>0</v>
      </c>
      <c r="F127" s="17">
        <v>0.112</v>
      </c>
      <c r="G127" s="7">
        <v>7.0000000000000001E-3</v>
      </c>
      <c r="H127" s="7">
        <v>0</v>
      </c>
      <c r="I127" s="7">
        <v>0</v>
      </c>
      <c r="J127" s="14">
        <v>0.23</v>
      </c>
      <c r="K127" s="15">
        <v>9</v>
      </c>
      <c r="L127" s="14">
        <v>8.07</v>
      </c>
      <c r="M127" s="16">
        <v>7.3</v>
      </c>
      <c r="N127" s="16">
        <v>3.8</v>
      </c>
      <c r="O127" s="16">
        <v>8.1999999999999993</v>
      </c>
      <c r="P127" s="15">
        <v>15</v>
      </c>
      <c r="Q127" s="15">
        <v>92</v>
      </c>
      <c r="R127" s="25"/>
    </row>
    <row r="128" spans="1:18" ht="16.5" x14ac:dyDescent="0.25">
      <c r="A128" t="s">
        <v>20</v>
      </c>
      <c r="B128">
        <v>3</v>
      </c>
      <c r="C128" s="17">
        <v>4.7E-2</v>
      </c>
      <c r="D128" s="7">
        <v>0.1</v>
      </c>
      <c r="E128" s="7">
        <v>0</v>
      </c>
      <c r="F128" s="7">
        <v>0</v>
      </c>
      <c r="G128" s="17">
        <v>1.9E-2</v>
      </c>
      <c r="H128" s="7">
        <v>0</v>
      </c>
      <c r="I128" s="17">
        <v>0.108</v>
      </c>
      <c r="J128" s="14">
        <v>0.55000000000000004</v>
      </c>
      <c r="K128" s="15">
        <v>6</v>
      </c>
      <c r="L128" s="14">
        <v>7.96</v>
      </c>
      <c r="M128" s="14">
        <v>6.74</v>
      </c>
      <c r="N128" s="7">
        <v>3.3</v>
      </c>
      <c r="O128" s="16">
        <v>7.2</v>
      </c>
      <c r="P128" s="15">
        <v>24</v>
      </c>
      <c r="Q128" s="15">
        <v>110</v>
      </c>
      <c r="R128" s="25"/>
    </row>
    <row r="129" spans="1:18" ht="16.5" x14ac:dyDescent="0.25">
      <c r="A129" t="s">
        <v>21</v>
      </c>
      <c r="B129">
        <v>3</v>
      </c>
      <c r="C129" s="14">
        <v>0.02</v>
      </c>
      <c r="D129" s="7">
        <v>0</v>
      </c>
      <c r="E129" s="7">
        <v>10</v>
      </c>
      <c r="F129" s="7">
        <v>0</v>
      </c>
      <c r="G129" s="7">
        <v>7.0000000000000001E-3</v>
      </c>
      <c r="H129" s="7">
        <v>0</v>
      </c>
      <c r="I129" s="7">
        <v>6.7000000000000004E-2</v>
      </c>
      <c r="J129" s="14">
        <v>0.59</v>
      </c>
      <c r="K129" s="15">
        <v>7</v>
      </c>
      <c r="L129" s="14">
        <v>8.19</v>
      </c>
      <c r="M129" s="14">
        <v>8.4600000000000009</v>
      </c>
      <c r="N129" s="16">
        <v>3.6</v>
      </c>
      <c r="O129" s="16">
        <v>7.3</v>
      </c>
      <c r="P129" s="15">
        <v>79</v>
      </c>
      <c r="Q129" s="15">
        <v>140</v>
      </c>
      <c r="R129" s="25"/>
    </row>
    <row r="130" spans="1:18" ht="16.5" x14ac:dyDescent="0.25">
      <c r="A130" t="s">
        <v>22</v>
      </c>
      <c r="B130">
        <v>3</v>
      </c>
      <c r="C130" s="17">
        <v>2.5999999999999999E-2</v>
      </c>
      <c r="D130" s="7">
        <v>0.09</v>
      </c>
      <c r="E130" s="7">
        <v>10</v>
      </c>
      <c r="F130" s="7">
        <v>0</v>
      </c>
      <c r="G130" s="7">
        <v>0</v>
      </c>
      <c r="H130" s="7">
        <v>7.0000000000000001E-3</v>
      </c>
      <c r="I130" s="7">
        <v>6.7000000000000004E-2</v>
      </c>
      <c r="J130" s="14">
        <v>0.82</v>
      </c>
      <c r="K130" s="15">
        <v>17</v>
      </c>
      <c r="L130" s="14">
        <v>6.94</v>
      </c>
      <c r="M130" s="14">
        <v>6.97</v>
      </c>
      <c r="N130" s="16">
        <v>6.6</v>
      </c>
      <c r="O130" s="16">
        <v>18.5</v>
      </c>
      <c r="P130" s="15">
        <v>65</v>
      </c>
      <c r="Q130" s="15">
        <v>83</v>
      </c>
      <c r="R130" s="25"/>
    </row>
    <row r="131" spans="1:18" ht="16.5" x14ac:dyDescent="0.25">
      <c r="A131" t="s">
        <v>23</v>
      </c>
      <c r="B131">
        <v>3</v>
      </c>
      <c r="C131" s="19">
        <v>0.01</v>
      </c>
      <c r="D131" s="19">
        <v>0</v>
      </c>
      <c r="E131" s="19">
        <v>0</v>
      </c>
      <c r="F131" s="19">
        <v>0</v>
      </c>
      <c r="G131" s="7">
        <v>7.0000000000000001E-3</v>
      </c>
      <c r="H131" s="7">
        <v>0</v>
      </c>
      <c r="I131" s="7">
        <v>0</v>
      </c>
      <c r="J131" s="14">
        <v>0.17</v>
      </c>
      <c r="K131" s="15">
        <v>4</v>
      </c>
      <c r="L131" s="14">
        <v>8.74</v>
      </c>
      <c r="M131" s="14">
        <v>8.19</v>
      </c>
      <c r="N131" s="16">
        <v>3.9</v>
      </c>
      <c r="O131" s="16">
        <v>9.1</v>
      </c>
      <c r="P131" s="15">
        <v>11</v>
      </c>
      <c r="Q131" s="15">
        <v>210</v>
      </c>
      <c r="R131" s="25"/>
    </row>
    <row r="132" spans="1:18" ht="16.5" x14ac:dyDescent="0.25">
      <c r="A132" t="s">
        <v>24</v>
      </c>
      <c r="B132">
        <v>3</v>
      </c>
      <c r="C132" s="20">
        <v>1.4E-2</v>
      </c>
      <c r="D132" s="19">
        <v>0</v>
      </c>
      <c r="E132" s="19">
        <v>10</v>
      </c>
      <c r="F132" s="19">
        <v>0</v>
      </c>
      <c r="G132" s="7">
        <v>7.0000000000000001E-3</v>
      </c>
      <c r="H132" s="7">
        <v>0</v>
      </c>
      <c r="I132" s="7">
        <v>6.7000000000000004E-2</v>
      </c>
      <c r="J132" s="14">
        <v>0.65</v>
      </c>
      <c r="K132" s="15">
        <v>10</v>
      </c>
      <c r="L132" s="14">
        <v>8.17</v>
      </c>
      <c r="M132" s="14">
        <v>7.31</v>
      </c>
      <c r="N132" s="16">
        <v>5.7</v>
      </c>
      <c r="O132" s="16">
        <v>13.7</v>
      </c>
      <c r="P132" s="15">
        <v>75</v>
      </c>
      <c r="Q132" s="15">
        <v>170</v>
      </c>
      <c r="R132" s="25"/>
    </row>
    <row r="133" spans="1:18" ht="16.5" x14ac:dyDescent="0.25">
      <c r="A133" t="s">
        <v>25</v>
      </c>
      <c r="B133">
        <v>3</v>
      </c>
      <c r="C133" s="20">
        <v>2.4E-2</v>
      </c>
      <c r="D133" s="19">
        <v>0.1</v>
      </c>
      <c r="E133" s="19">
        <v>0</v>
      </c>
      <c r="F133" s="19">
        <v>0.1</v>
      </c>
      <c r="G133" s="14">
        <v>0.01</v>
      </c>
      <c r="H133" s="7">
        <v>0</v>
      </c>
      <c r="I133" s="17">
        <v>0.104</v>
      </c>
      <c r="J133" s="14">
        <v>0.42</v>
      </c>
      <c r="K133" s="15">
        <v>5</v>
      </c>
      <c r="L133" s="14">
        <v>7.81</v>
      </c>
      <c r="M133" s="16">
        <v>7</v>
      </c>
      <c r="N133" s="7">
        <v>3.3</v>
      </c>
      <c r="O133" s="16">
        <v>7.2</v>
      </c>
      <c r="P133" s="15">
        <v>22</v>
      </c>
      <c r="Q133" s="15">
        <v>91</v>
      </c>
      <c r="R133" s="25"/>
    </row>
    <row r="134" spans="1:18" ht="16.5" x14ac:dyDescent="0.25">
      <c r="A134" t="s">
        <v>26</v>
      </c>
      <c r="B134">
        <v>3</v>
      </c>
      <c r="C134" s="19">
        <v>0.01</v>
      </c>
      <c r="D134" s="19">
        <v>0.1</v>
      </c>
      <c r="E134" s="19">
        <v>0</v>
      </c>
      <c r="F134" s="20">
        <v>0.129</v>
      </c>
      <c r="G134" s="7">
        <v>7.0000000000000001E-3</v>
      </c>
      <c r="H134" s="7">
        <v>7.0000000000000001E-3</v>
      </c>
      <c r="I134" s="17">
        <v>1.131</v>
      </c>
      <c r="J134" s="16">
        <v>2.5</v>
      </c>
      <c r="K134" s="15">
        <v>16</v>
      </c>
      <c r="L134" s="14">
        <v>7.06</v>
      </c>
      <c r="M134" s="16">
        <v>6.7</v>
      </c>
      <c r="N134" s="7">
        <v>3.3</v>
      </c>
      <c r="O134" s="15">
        <v>9</v>
      </c>
      <c r="P134" s="15">
        <v>24</v>
      </c>
      <c r="Q134" s="15">
        <v>140</v>
      </c>
      <c r="R134" s="25"/>
    </row>
    <row r="135" spans="1:18" ht="16.5" x14ac:dyDescent="0.25">
      <c r="A135" t="s">
        <v>27</v>
      </c>
      <c r="B135">
        <v>3</v>
      </c>
      <c r="C135" s="20">
        <v>3.4000000000000002E-2</v>
      </c>
      <c r="D135" s="19">
        <v>0.1</v>
      </c>
      <c r="E135" s="19">
        <v>0</v>
      </c>
      <c r="F135" s="20">
        <v>0.123</v>
      </c>
      <c r="G135" s="7">
        <v>7.0000000000000001E-3</v>
      </c>
      <c r="H135" s="7">
        <v>7.0000000000000001E-3</v>
      </c>
      <c r="I135" s="17">
        <v>0.28699999999999998</v>
      </c>
      <c r="J135" s="14">
        <v>1.44</v>
      </c>
      <c r="K135" s="15">
        <v>12</v>
      </c>
      <c r="L135" s="14">
        <v>8.0299999999999994</v>
      </c>
      <c r="M135" s="14">
        <v>6.85</v>
      </c>
      <c r="N135" s="7">
        <v>3.3</v>
      </c>
      <c r="O135" s="7">
        <v>6.7</v>
      </c>
      <c r="P135" s="15">
        <v>432</v>
      </c>
      <c r="Q135" s="15">
        <v>92</v>
      </c>
      <c r="R135" s="25"/>
    </row>
    <row r="136" spans="1:18" ht="16.5" x14ac:dyDescent="0.25">
      <c r="A136" t="s">
        <v>28</v>
      </c>
      <c r="B136">
        <v>3</v>
      </c>
      <c r="C136" s="20">
        <v>1.0999999999999999E-2</v>
      </c>
      <c r="D136" s="19">
        <v>0.09</v>
      </c>
      <c r="E136" s="18">
        <v>21.6</v>
      </c>
      <c r="F136" s="20">
        <v>0.123</v>
      </c>
      <c r="G136" s="19">
        <v>7.0000000000000001E-3</v>
      </c>
      <c r="H136" s="19">
        <v>0</v>
      </c>
      <c r="I136" s="19">
        <v>6.7000000000000004E-2</v>
      </c>
      <c r="J136" s="21">
        <v>0.91</v>
      </c>
      <c r="K136" s="22">
        <v>12</v>
      </c>
      <c r="L136" s="14">
        <v>7.95</v>
      </c>
      <c r="M136" s="14">
        <v>7.07</v>
      </c>
      <c r="N136" s="16">
        <v>4.3</v>
      </c>
      <c r="O136" s="16">
        <v>16.7</v>
      </c>
      <c r="P136" s="15">
        <v>75</v>
      </c>
      <c r="Q136" s="15">
        <v>92</v>
      </c>
      <c r="R136" s="25"/>
    </row>
    <row r="137" spans="1:18" ht="16.5" x14ac:dyDescent="0.25">
      <c r="A137" t="s">
        <v>29</v>
      </c>
      <c r="B137">
        <v>3</v>
      </c>
      <c r="C137" s="20">
        <v>2.1999999999999999E-2</v>
      </c>
      <c r="D137" s="19">
        <v>0.09</v>
      </c>
      <c r="E137" s="22">
        <v>39</v>
      </c>
      <c r="F137" s="19">
        <v>0.1</v>
      </c>
      <c r="G137" s="19">
        <v>7.0000000000000001E-3</v>
      </c>
      <c r="H137" s="19">
        <v>0</v>
      </c>
      <c r="I137" s="20">
        <v>0.129</v>
      </c>
      <c r="J137" s="21">
        <v>0.54</v>
      </c>
      <c r="K137" s="22">
        <v>6</v>
      </c>
      <c r="L137" s="14">
        <v>7.57</v>
      </c>
      <c r="M137" s="14">
        <v>6.68</v>
      </c>
      <c r="N137" s="16">
        <v>6.4</v>
      </c>
      <c r="O137" s="16">
        <v>18.5</v>
      </c>
      <c r="P137" s="15">
        <v>9</v>
      </c>
      <c r="Q137" s="15">
        <v>170</v>
      </c>
      <c r="R137" s="25"/>
    </row>
    <row r="138" spans="1:18" ht="16.5" x14ac:dyDescent="0.25">
      <c r="A138" t="s">
        <v>30</v>
      </c>
      <c r="B138">
        <v>3</v>
      </c>
      <c r="C138" s="20">
        <v>6.7000000000000004E-2</v>
      </c>
      <c r="D138" s="20">
        <v>0.82699999999999996</v>
      </c>
      <c r="E138" s="22">
        <v>36</v>
      </c>
      <c r="F138" s="20">
        <v>0.313</v>
      </c>
      <c r="G138" s="19">
        <v>7.0000000000000001E-3</v>
      </c>
      <c r="H138" s="19">
        <v>0</v>
      </c>
      <c r="I138" s="20">
        <v>0.60499999999999998</v>
      </c>
      <c r="J138" s="21">
        <v>0.32</v>
      </c>
      <c r="K138" s="22">
        <v>21</v>
      </c>
      <c r="L138" s="14">
        <v>7.16</v>
      </c>
      <c r="M138" s="14">
        <v>5.14</v>
      </c>
      <c r="N138" s="16">
        <v>4.5999999999999996</v>
      </c>
      <c r="O138" s="16">
        <v>15.7</v>
      </c>
      <c r="P138" s="15">
        <v>14</v>
      </c>
      <c r="Q138" s="15">
        <v>370</v>
      </c>
      <c r="R138" s="25"/>
    </row>
    <row r="139" spans="1:18" ht="16.5" x14ac:dyDescent="0.25">
      <c r="A139" t="s">
        <v>31</v>
      </c>
      <c r="B139">
        <v>3</v>
      </c>
      <c r="C139" s="7">
        <v>0</v>
      </c>
      <c r="D139" s="7">
        <v>0</v>
      </c>
      <c r="E139" s="16">
        <v>25.2</v>
      </c>
      <c r="F139" s="7">
        <v>0</v>
      </c>
      <c r="G139" s="7">
        <v>7.0000000000000001E-3</v>
      </c>
      <c r="H139" s="7">
        <v>0</v>
      </c>
      <c r="I139" s="7">
        <v>6.7000000000000004E-2</v>
      </c>
      <c r="J139" s="7">
        <v>0.09</v>
      </c>
      <c r="K139" s="15">
        <v>3</v>
      </c>
      <c r="L139" s="14">
        <v>7.97</v>
      </c>
      <c r="M139" s="14">
        <v>7.82</v>
      </c>
      <c r="N139" s="16">
        <v>3.7</v>
      </c>
      <c r="O139" s="16">
        <v>13.6</v>
      </c>
      <c r="P139" s="15">
        <v>8</v>
      </c>
      <c r="Q139" s="15">
        <v>155</v>
      </c>
      <c r="R139" s="25"/>
    </row>
    <row r="140" spans="1:18" ht="16.5" x14ac:dyDescent="0.25">
      <c r="A140" t="s">
        <v>32</v>
      </c>
      <c r="B140">
        <v>3</v>
      </c>
      <c r="C140" s="17">
        <v>2.5999999999999999E-2</v>
      </c>
      <c r="D140" s="17">
        <v>0.252</v>
      </c>
      <c r="E140" s="15">
        <v>3581</v>
      </c>
      <c r="F140" s="17">
        <v>0.27900000000000003</v>
      </c>
      <c r="G140" s="7">
        <v>0</v>
      </c>
      <c r="H140" s="7">
        <v>0</v>
      </c>
      <c r="I140" s="17">
        <v>0.72199999999999998</v>
      </c>
      <c r="J140" s="14">
        <v>0.13</v>
      </c>
      <c r="K140" s="15">
        <v>2</v>
      </c>
      <c r="L140" s="14">
        <v>7.11</v>
      </c>
      <c r="M140" s="14">
        <v>4.91</v>
      </c>
      <c r="N140" s="16">
        <v>3.8</v>
      </c>
      <c r="O140" s="16">
        <v>17.2</v>
      </c>
      <c r="P140" s="15">
        <v>8</v>
      </c>
      <c r="Q140" s="15">
        <v>210</v>
      </c>
      <c r="R140" s="25"/>
    </row>
    <row r="141" spans="1:18" ht="16.5" x14ac:dyDescent="0.25">
      <c r="A141" t="s">
        <v>33</v>
      </c>
      <c r="B141">
        <v>3</v>
      </c>
      <c r="C141" s="17">
        <v>3.5000000000000003E-2</v>
      </c>
      <c r="D141" s="17">
        <v>0.28699999999999998</v>
      </c>
      <c r="E141" s="15">
        <v>5000</v>
      </c>
      <c r="F141" s="17">
        <v>0.33300000000000002</v>
      </c>
      <c r="G141" s="7">
        <v>7.0000000000000001E-3</v>
      </c>
      <c r="H141" s="7">
        <v>0</v>
      </c>
      <c r="I141" s="17">
        <v>0.61599999999999999</v>
      </c>
      <c r="J141" s="14">
        <v>0.15</v>
      </c>
      <c r="K141" s="15">
        <v>3</v>
      </c>
      <c r="L141" s="14">
        <v>7.04</v>
      </c>
      <c r="M141" s="14">
        <v>4.8600000000000003</v>
      </c>
      <c r="N141" s="16">
        <v>4.2</v>
      </c>
      <c r="O141" s="16">
        <v>17.7</v>
      </c>
      <c r="P141" s="15">
        <v>7</v>
      </c>
      <c r="Q141" s="15">
        <v>240</v>
      </c>
      <c r="R141" s="25"/>
    </row>
    <row r="142" spans="1:18" ht="16.5" x14ac:dyDescent="0.25">
      <c r="A142" t="s">
        <v>34</v>
      </c>
      <c r="B142">
        <v>3</v>
      </c>
      <c r="C142" s="17">
        <v>2.7E-2</v>
      </c>
      <c r="D142" s="17">
        <v>0.38700000000000001</v>
      </c>
      <c r="E142" s="15">
        <v>464</v>
      </c>
      <c r="F142" s="17">
        <v>0.44500000000000001</v>
      </c>
      <c r="G142" s="7">
        <v>7.0000000000000001E-3</v>
      </c>
      <c r="H142" s="7">
        <v>0</v>
      </c>
      <c r="I142" s="17">
        <v>0.51400000000000001</v>
      </c>
      <c r="J142" s="14">
        <v>1.41</v>
      </c>
      <c r="K142" s="15">
        <v>13</v>
      </c>
      <c r="L142" s="14">
        <v>6.98</v>
      </c>
      <c r="M142" s="14">
        <v>5.16</v>
      </c>
      <c r="N142" s="15">
        <v>4</v>
      </c>
      <c r="O142" s="16">
        <v>15.7</v>
      </c>
      <c r="P142" s="15">
        <v>51</v>
      </c>
      <c r="Q142" s="15">
        <v>170</v>
      </c>
      <c r="R142" s="25"/>
    </row>
    <row r="143" spans="1:18" ht="16.5" x14ac:dyDescent="0.25">
      <c r="A143" t="s">
        <v>35</v>
      </c>
      <c r="B143">
        <v>3</v>
      </c>
      <c r="C143" s="17">
        <v>9.5000000000000001E-2</v>
      </c>
      <c r="D143" s="17">
        <v>0.13100000000000001</v>
      </c>
      <c r="E143" s="15">
        <v>11</v>
      </c>
      <c r="F143" s="16">
        <v>0.1</v>
      </c>
      <c r="G143" s="7">
        <v>7.0000000000000001E-3</v>
      </c>
      <c r="H143" s="7">
        <v>0</v>
      </c>
      <c r="I143" s="14">
        <v>0.31</v>
      </c>
      <c r="J143" s="14">
        <v>1.1299999999999999</v>
      </c>
      <c r="K143" s="15">
        <v>8</v>
      </c>
      <c r="L143" s="14">
        <v>7.17</v>
      </c>
      <c r="M143" s="14">
        <v>4.76</v>
      </c>
      <c r="N143" s="16">
        <v>3.9</v>
      </c>
      <c r="O143" s="16">
        <v>13.9</v>
      </c>
      <c r="P143" s="15">
        <v>53</v>
      </c>
      <c r="Q143" s="15">
        <v>130</v>
      </c>
      <c r="R143" s="25"/>
    </row>
    <row r="144" spans="1:18" ht="16.5" x14ac:dyDescent="0.25">
      <c r="A144" t="s">
        <v>36</v>
      </c>
      <c r="B144">
        <v>3</v>
      </c>
      <c r="C144" s="14">
        <v>0.05</v>
      </c>
      <c r="D144" s="17">
        <v>0.14799999999999999</v>
      </c>
      <c r="E144" s="16">
        <v>18.100000000000001</v>
      </c>
      <c r="F144" s="17">
        <v>0.56599999999999995</v>
      </c>
      <c r="G144" s="17">
        <v>8.0000000000000002E-3</v>
      </c>
      <c r="H144" s="7">
        <v>0</v>
      </c>
      <c r="I144" s="17">
        <v>0.13600000000000001</v>
      </c>
      <c r="J144" s="14">
        <v>0.82</v>
      </c>
      <c r="K144" s="15">
        <v>10</v>
      </c>
      <c r="L144" s="14">
        <v>7.52</v>
      </c>
      <c r="M144" s="14">
        <v>5.21</v>
      </c>
      <c r="N144" s="16">
        <v>4.3</v>
      </c>
      <c r="O144" s="16">
        <v>15.7</v>
      </c>
      <c r="P144" s="15">
        <v>36</v>
      </c>
      <c r="Q144" s="15">
        <v>140</v>
      </c>
      <c r="R144" s="25"/>
    </row>
    <row r="145" spans="1:18" ht="16.5" x14ac:dyDescent="0.25">
      <c r="A145" t="s">
        <v>37</v>
      </c>
      <c r="B145">
        <v>3</v>
      </c>
      <c r="C145" s="17">
        <v>4.7E-2</v>
      </c>
      <c r="D145" s="17">
        <v>0.309</v>
      </c>
      <c r="E145" s="15">
        <v>472</v>
      </c>
      <c r="F145" s="7">
        <v>0.1</v>
      </c>
      <c r="G145" s="7">
        <v>7.0000000000000001E-3</v>
      </c>
      <c r="H145" s="7">
        <v>0</v>
      </c>
      <c r="I145" s="17">
        <v>0.33700000000000002</v>
      </c>
      <c r="J145" s="14">
        <v>0.76</v>
      </c>
      <c r="K145" s="15">
        <v>9</v>
      </c>
      <c r="L145" s="14">
        <v>7.13</v>
      </c>
      <c r="M145" s="14">
        <v>4.6100000000000003</v>
      </c>
      <c r="N145" s="16">
        <v>3.5</v>
      </c>
      <c r="O145" s="16">
        <v>17.600000000000001</v>
      </c>
      <c r="P145" s="15">
        <v>21</v>
      </c>
      <c r="Q145" s="15">
        <v>120</v>
      </c>
      <c r="R145" s="25"/>
    </row>
    <row r="146" spans="1:18" ht="16.5" x14ac:dyDescent="0.25">
      <c r="A146" t="s">
        <v>38</v>
      </c>
      <c r="B146">
        <v>3</v>
      </c>
      <c r="C146" s="17">
        <v>2.1000000000000001E-2</v>
      </c>
      <c r="D146" s="17">
        <v>1.3839999999999999</v>
      </c>
      <c r="E146" s="15">
        <v>3031</v>
      </c>
      <c r="F146" s="17">
        <v>0.35899999999999999</v>
      </c>
      <c r="G146" s="7">
        <v>7.0000000000000001E-3</v>
      </c>
      <c r="H146" s="7">
        <v>0</v>
      </c>
      <c r="I146" s="14">
        <v>1.75</v>
      </c>
      <c r="J146" s="14">
        <v>0.21</v>
      </c>
      <c r="K146" s="15">
        <v>32</v>
      </c>
      <c r="L146" s="14">
        <v>7.36</v>
      </c>
      <c r="M146" s="14">
        <v>2.74</v>
      </c>
      <c r="N146" s="16">
        <v>6.8</v>
      </c>
      <c r="O146" s="16">
        <v>18.399999999999999</v>
      </c>
      <c r="P146" s="15">
        <v>10</v>
      </c>
      <c r="Q146" s="15">
        <v>560</v>
      </c>
      <c r="R146" s="25"/>
    </row>
    <row r="147" spans="1:18" ht="16.5" x14ac:dyDescent="0.25">
      <c r="A147" t="s">
        <v>39</v>
      </c>
      <c r="B147">
        <v>3</v>
      </c>
      <c r="C147" s="14">
        <v>0.09</v>
      </c>
      <c r="D147" s="17">
        <v>0.32200000000000001</v>
      </c>
      <c r="E147" s="15">
        <v>54</v>
      </c>
      <c r="F147" s="17">
        <v>0.49099999999999999</v>
      </c>
      <c r="G147" s="7">
        <v>7.0000000000000001E-3</v>
      </c>
      <c r="H147" s="7">
        <v>0</v>
      </c>
      <c r="I147" s="17">
        <v>0.52500000000000002</v>
      </c>
      <c r="J147" s="14">
        <v>0.28000000000000003</v>
      </c>
      <c r="K147" s="15">
        <v>11</v>
      </c>
      <c r="L147" s="14">
        <v>7.53</v>
      </c>
      <c r="M147" s="14">
        <v>3.58</v>
      </c>
      <c r="N147" s="16">
        <v>4.5</v>
      </c>
      <c r="O147" s="16">
        <v>16.600000000000001</v>
      </c>
      <c r="P147" s="15">
        <v>16</v>
      </c>
      <c r="Q147" s="15">
        <v>360</v>
      </c>
      <c r="R147" s="25"/>
    </row>
    <row r="148" spans="1:18" ht="16.5" x14ac:dyDescent="0.25">
      <c r="A148" t="s">
        <v>40</v>
      </c>
      <c r="B148">
        <v>3</v>
      </c>
      <c r="C148" s="17">
        <v>7.1999999999999995E-2</v>
      </c>
      <c r="D148" s="14">
        <v>1.49</v>
      </c>
      <c r="E148" s="16">
        <v>23.4</v>
      </c>
      <c r="F148" s="7">
        <v>0</v>
      </c>
      <c r="G148" s="7">
        <v>7.0000000000000001E-3</v>
      </c>
      <c r="H148" s="7">
        <v>0</v>
      </c>
      <c r="I148" s="17">
        <v>0.47399999999999998</v>
      </c>
      <c r="J148" s="14">
        <v>1.01</v>
      </c>
      <c r="K148" s="15">
        <v>14</v>
      </c>
      <c r="L148" s="14">
        <v>7.17</v>
      </c>
      <c r="M148" s="16">
        <v>5.7</v>
      </c>
      <c r="N148" s="16">
        <v>5.0999999999999996</v>
      </c>
      <c r="O148" s="16">
        <v>20.3</v>
      </c>
      <c r="P148" s="15">
        <v>36</v>
      </c>
      <c r="Q148" s="15">
        <v>920</v>
      </c>
      <c r="R148" s="25"/>
    </row>
    <row r="149" spans="1:18" ht="16.5" x14ac:dyDescent="0.25">
      <c r="A149" t="s">
        <v>41</v>
      </c>
      <c r="B149">
        <v>3</v>
      </c>
      <c r="C149" s="17">
        <v>3.6999999999999998E-2</v>
      </c>
      <c r="D149" s="17">
        <v>0.14099999999999999</v>
      </c>
      <c r="E149" s="15">
        <v>376</v>
      </c>
      <c r="F149" s="16">
        <v>0.1</v>
      </c>
      <c r="G149" s="7">
        <v>7.0000000000000001E-3</v>
      </c>
      <c r="H149" s="7">
        <v>0</v>
      </c>
      <c r="I149" s="17">
        <v>0.51300000000000001</v>
      </c>
      <c r="J149" s="14">
        <v>0.23</v>
      </c>
      <c r="K149" s="15">
        <v>12</v>
      </c>
      <c r="L149" s="14">
        <v>7.34</v>
      </c>
      <c r="M149" s="16">
        <v>5.5</v>
      </c>
      <c r="N149" s="16">
        <v>5.7</v>
      </c>
      <c r="O149" s="16">
        <v>18.399999999999999</v>
      </c>
      <c r="P149" s="15">
        <v>39</v>
      </c>
      <c r="Q149" s="15">
        <v>680</v>
      </c>
      <c r="R149" s="25"/>
    </row>
    <row r="150" spans="1:18" ht="16.5" x14ac:dyDescent="0.25">
      <c r="A150" t="s">
        <v>42</v>
      </c>
      <c r="B150">
        <v>3</v>
      </c>
      <c r="C150" s="7">
        <v>0</v>
      </c>
      <c r="D150" s="7">
        <v>0</v>
      </c>
      <c r="E150" s="16">
        <v>14.8</v>
      </c>
      <c r="F150" s="7">
        <v>0</v>
      </c>
      <c r="G150" s="7">
        <v>7.0000000000000001E-3</v>
      </c>
      <c r="H150" s="7">
        <v>0</v>
      </c>
      <c r="I150" s="17">
        <v>7.2999999999999995E-2</v>
      </c>
      <c r="J150" s="14">
        <v>0.09</v>
      </c>
      <c r="K150" s="15">
        <v>4</v>
      </c>
      <c r="L150" s="14">
        <v>8.06</v>
      </c>
      <c r="M150" s="14">
        <v>7.33</v>
      </c>
      <c r="N150" s="16">
        <v>3.5</v>
      </c>
      <c r="O150" s="16">
        <v>11.8</v>
      </c>
      <c r="P150" s="15">
        <v>13</v>
      </c>
      <c r="Q150" s="15">
        <v>120</v>
      </c>
      <c r="R150" s="25"/>
    </row>
    <row r="151" spans="1:18" ht="16.5" x14ac:dyDescent="0.25">
      <c r="A151" t="s">
        <v>43</v>
      </c>
      <c r="B151">
        <v>3</v>
      </c>
      <c r="C151" s="7">
        <v>0.01</v>
      </c>
      <c r="D151" s="7">
        <v>0</v>
      </c>
      <c r="E151" s="7">
        <v>10</v>
      </c>
      <c r="F151" s="14">
        <v>0.21</v>
      </c>
      <c r="G151" s="7">
        <v>7.0000000000000001E-3</v>
      </c>
      <c r="H151" s="7">
        <v>0</v>
      </c>
      <c r="I151" s="7">
        <v>6.7000000000000004E-2</v>
      </c>
      <c r="J151" s="14">
        <v>0.13</v>
      </c>
      <c r="K151" s="7">
        <v>0</v>
      </c>
      <c r="L151" s="14">
        <v>7.77</v>
      </c>
      <c r="M151" s="14">
        <v>7.01</v>
      </c>
      <c r="N151" s="15">
        <v>4</v>
      </c>
      <c r="O151" s="16">
        <v>13.7</v>
      </c>
      <c r="P151" s="7">
        <v>0</v>
      </c>
      <c r="Q151" s="15">
        <v>130</v>
      </c>
      <c r="R151" s="25"/>
    </row>
    <row r="152" spans="1:18" ht="16.5" x14ac:dyDescent="0.25">
      <c r="A152" t="s">
        <v>44</v>
      </c>
      <c r="B152">
        <v>3</v>
      </c>
      <c r="C152" s="7">
        <v>0.01</v>
      </c>
      <c r="D152" s="7">
        <v>0</v>
      </c>
      <c r="E152" s="7">
        <v>10</v>
      </c>
      <c r="F152" s="7">
        <v>0</v>
      </c>
      <c r="G152" s="7">
        <v>7.0000000000000001E-3</v>
      </c>
      <c r="H152" s="7">
        <v>0</v>
      </c>
      <c r="I152" s="17">
        <v>7.8E-2</v>
      </c>
      <c r="J152" s="17">
        <v>0.155</v>
      </c>
      <c r="K152" s="15">
        <v>26</v>
      </c>
      <c r="L152" s="14">
        <v>7.25</v>
      </c>
      <c r="M152" s="14">
        <v>7.53</v>
      </c>
      <c r="N152" s="16">
        <v>5.7</v>
      </c>
      <c r="O152" s="16">
        <v>15.7</v>
      </c>
      <c r="P152" s="15">
        <v>9</v>
      </c>
      <c r="Q152" s="15">
        <v>170</v>
      </c>
      <c r="R152" s="25"/>
    </row>
    <row r="153" spans="1:18" ht="16.5" x14ac:dyDescent="0.25">
      <c r="A153" t="s">
        <v>45</v>
      </c>
      <c r="B153">
        <v>3</v>
      </c>
      <c r="C153" s="17">
        <v>0.27200000000000002</v>
      </c>
      <c r="D153" s="7">
        <v>0.09</v>
      </c>
      <c r="E153" s="7">
        <v>0</v>
      </c>
      <c r="F153" s="7">
        <v>0.1</v>
      </c>
      <c r="G153" s="7">
        <v>7.0000000000000001E-3</v>
      </c>
      <c r="H153" s="7">
        <v>0</v>
      </c>
      <c r="I153" s="7">
        <v>6.7000000000000004E-2</v>
      </c>
      <c r="J153" s="14">
        <v>0.12</v>
      </c>
      <c r="K153" s="15">
        <v>7</v>
      </c>
      <c r="L153" s="14">
        <v>7.79</v>
      </c>
      <c r="M153" s="14">
        <v>9.4499999999999993</v>
      </c>
      <c r="N153" s="16">
        <v>5.9</v>
      </c>
      <c r="O153" s="16">
        <v>9.1</v>
      </c>
      <c r="P153" s="15">
        <v>6</v>
      </c>
      <c r="Q153" s="15">
        <v>200</v>
      </c>
      <c r="R153" s="25"/>
    </row>
    <row r="154" spans="1:18" ht="16.5" x14ac:dyDescent="0.25">
      <c r="A154" t="s">
        <v>46</v>
      </c>
      <c r="B154">
        <v>3</v>
      </c>
      <c r="C154" s="17">
        <v>1.4E-2</v>
      </c>
      <c r="D154" s="7">
        <v>0</v>
      </c>
      <c r="E154" s="7">
        <v>10</v>
      </c>
      <c r="F154" s="7">
        <v>0</v>
      </c>
      <c r="G154" s="7">
        <v>7.0000000000000001E-3</v>
      </c>
      <c r="H154" s="7">
        <v>0</v>
      </c>
      <c r="I154" s="7">
        <v>6.7000000000000004E-2</v>
      </c>
      <c r="J154" s="14">
        <v>0.19</v>
      </c>
      <c r="K154" s="15">
        <v>6</v>
      </c>
      <c r="L154" s="16">
        <v>9</v>
      </c>
      <c r="M154" s="14">
        <v>7.76</v>
      </c>
      <c r="N154" s="16">
        <v>3.7</v>
      </c>
      <c r="O154" s="16">
        <v>8.1999999999999993</v>
      </c>
      <c r="P154" s="15">
        <v>11</v>
      </c>
      <c r="Q154" s="15">
        <v>210</v>
      </c>
      <c r="R154" s="25"/>
    </row>
    <row r="155" spans="1:18" ht="16.5" x14ac:dyDescent="0.25">
      <c r="A155" t="s">
        <v>47</v>
      </c>
      <c r="B155">
        <v>3</v>
      </c>
      <c r="C155" s="7">
        <v>0.01</v>
      </c>
      <c r="D155" s="7">
        <v>0</v>
      </c>
      <c r="E155" s="16">
        <v>18.100000000000001</v>
      </c>
      <c r="F155" s="7">
        <v>0</v>
      </c>
      <c r="G155" s="7">
        <v>7.0000000000000001E-3</v>
      </c>
      <c r="H155" s="7">
        <v>0</v>
      </c>
      <c r="I155" s="7">
        <v>6.7000000000000004E-2</v>
      </c>
      <c r="J155" s="14">
        <v>0.37</v>
      </c>
      <c r="K155" s="15">
        <v>12</v>
      </c>
      <c r="L155" s="14">
        <v>8.7799999999999994</v>
      </c>
      <c r="M155" s="16">
        <v>5.8</v>
      </c>
      <c r="N155" s="16">
        <v>10.6</v>
      </c>
      <c r="O155" s="16">
        <v>33.1</v>
      </c>
      <c r="P155" s="15">
        <v>41</v>
      </c>
      <c r="Q155" s="15">
        <v>1400</v>
      </c>
      <c r="R155" s="25"/>
    </row>
    <row r="156" spans="1:18" ht="16.5" x14ac:dyDescent="0.25">
      <c r="A156" t="s">
        <v>48</v>
      </c>
      <c r="B156">
        <v>3</v>
      </c>
      <c r="C156" s="17">
        <v>2.1000000000000001E-2</v>
      </c>
      <c r="D156" s="17">
        <v>2.8079999999999998</v>
      </c>
      <c r="E156" s="16">
        <v>21.6</v>
      </c>
      <c r="F156" s="7">
        <v>0.1</v>
      </c>
      <c r="G156" s="7">
        <v>7.0000000000000001E-3</v>
      </c>
      <c r="H156" s="7">
        <v>0</v>
      </c>
      <c r="I156" s="17">
        <v>0.129</v>
      </c>
      <c r="J156" s="14">
        <v>0.45</v>
      </c>
      <c r="K156" s="15">
        <v>150</v>
      </c>
      <c r="L156" s="14">
        <v>7.53</v>
      </c>
      <c r="M156" s="14">
        <v>2.04</v>
      </c>
      <c r="N156" s="16">
        <v>10.1</v>
      </c>
      <c r="O156" s="16">
        <v>31.7</v>
      </c>
      <c r="P156" s="15">
        <v>35</v>
      </c>
      <c r="Q156" s="15">
        <v>1100</v>
      </c>
      <c r="R156" s="25"/>
    </row>
    <row r="157" spans="1:18" ht="16.5" x14ac:dyDescent="0.25">
      <c r="A157" t="s">
        <v>49</v>
      </c>
      <c r="B157">
        <v>3</v>
      </c>
      <c r="C157" s="7">
        <v>0.01</v>
      </c>
      <c r="D157" s="16">
        <v>15.4</v>
      </c>
      <c r="E157" s="16">
        <v>35.1</v>
      </c>
      <c r="F157" s="7">
        <v>0</v>
      </c>
      <c r="G157" s="7">
        <v>7.0000000000000001E-3</v>
      </c>
      <c r="H157" s="7">
        <v>0</v>
      </c>
      <c r="I157" s="17">
        <v>0.45600000000000002</v>
      </c>
      <c r="J157" s="14">
        <v>0.67</v>
      </c>
      <c r="K157" s="15">
        <v>160</v>
      </c>
      <c r="L157" s="14">
        <v>7.64</v>
      </c>
      <c r="M157" s="14">
        <v>4.07</v>
      </c>
      <c r="N157" s="15">
        <v>14</v>
      </c>
      <c r="O157" s="15">
        <v>39</v>
      </c>
      <c r="P157" s="15">
        <v>21</v>
      </c>
      <c r="Q157" s="15">
        <v>2100</v>
      </c>
      <c r="R157" s="25"/>
    </row>
    <row r="158" spans="1:18" ht="16.5" x14ac:dyDescent="0.25">
      <c r="A158" t="s">
        <v>50</v>
      </c>
      <c r="B158">
        <v>3</v>
      </c>
      <c r="C158" s="14">
        <v>0.03</v>
      </c>
      <c r="D158" s="14">
        <v>5.18</v>
      </c>
      <c r="E158" s="16">
        <v>16.3</v>
      </c>
      <c r="F158" s="17">
        <v>1.331</v>
      </c>
      <c r="G158" s="7">
        <v>7.0000000000000001E-3</v>
      </c>
      <c r="H158" s="7">
        <v>0</v>
      </c>
      <c r="I158" s="17">
        <v>0.753</v>
      </c>
      <c r="J158" s="14">
        <v>1.19</v>
      </c>
      <c r="K158" s="15">
        <v>180</v>
      </c>
      <c r="L158" s="14">
        <v>7.39</v>
      </c>
      <c r="M158" s="14">
        <v>3.08</v>
      </c>
      <c r="N158" s="16">
        <v>11.9</v>
      </c>
      <c r="O158" s="16">
        <v>28.1</v>
      </c>
      <c r="P158" s="15">
        <v>12</v>
      </c>
      <c r="Q158" s="15">
        <v>2100</v>
      </c>
      <c r="R158" s="25"/>
    </row>
    <row r="159" spans="1:18" ht="16.5" x14ac:dyDescent="0.25">
      <c r="A159" t="s">
        <v>51</v>
      </c>
      <c r="B159">
        <v>3</v>
      </c>
      <c r="C159" s="17">
        <v>2.4E-2</v>
      </c>
      <c r="D159" s="14">
        <v>4.76</v>
      </c>
      <c r="E159" s="16">
        <v>30.5</v>
      </c>
      <c r="F159" s="7">
        <v>0</v>
      </c>
      <c r="G159" s="7">
        <v>7.0000000000000001E-3</v>
      </c>
      <c r="H159" s="7">
        <v>0</v>
      </c>
      <c r="I159" s="17">
        <v>0.185</v>
      </c>
      <c r="J159" s="16">
        <v>0.7</v>
      </c>
      <c r="K159" s="15">
        <v>145</v>
      </c>
      <c r="L159" s="14">
        <v>7.63</v>
      </c>
      <c r="M159" s="14">
        <v>2.79</v>
      </c>
      <c r="N159" s="16">
        <v>11.8</v>
      </c>
      <c r="O159" s="16">
        <v>36.299999999999997</v>
      </c>
      <c r="P159" s="15">
        <v>19</v>
      </c>
      <c r="Q159" s="15">
        <v>2400</v>
      </c>
      <c r="R159" s="25"/>
    </row>
    <row r="160" spans="1:18" ht="16.5" x14ac:dyDescent="0.25">
      <c r="A160" t="s">
        <v>52</v>
      </c>
      <c r="B160">
        <v>3</v>
      </c>
      <c r="C160" s="16">
        <v>2.4</v>
      </c>
      <c r="D160" s="7">
        <v>0</v>
      </c>
      <c r="E160" s="16">
        <v>49.6</v>
      </c>
      <c r="F160" s="17">
        <v>0.16400000000000001</v>
      </c>
      <c r="G160" s="17">
        <v>8.9999999999999993E-3</v>
      </c>
      <c r="H160" s="7">
        <v>0</v>
      </c>
      <c r="I160" s="17">
        <v>0.17899999999999999</v>
      </c>
      <c r="J160" s="16">
        <v>0.5</v>
      </c>
      <c r="K160" s="15">
        <v>14</v>
      </c>
      <c r="L160" s="16">
        <v>8.1999999999999993</v>
      </c>
      <c r="M160" s="14">
        <v>6.85</v>
      </c>
      <c r="N160" s="16">
        <v>16.2</v>
      </c>
      <c r="O160" s="16">
        <v>39.9</v>
      </c>
      <c r="P160" s="15">
        <v>21</v>
      </c>
      <c r="Q160" s="15">
        <v>1700</v>
      </c>
      <c r="R160" s="25"/>
    </row>
    <row r="161" spans="1:18" ht="16.5" x14ac:dyDescent="0.25">
      <c r="A161" t="s">
        <v>0</v>
      </c>
      <c r="B161">
        <v>4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0.09</v>
      </c>
      <c r="K161" s="15">
        <v>4</v>
      </c>
      <c r="L161" s="14">
        <v>8.32</v>
      </c>
      <c r="M161" s="14">
        <v>7.34</v>
      </c>
      <c r="N161" s="16">
        <v>3.5</v>
      </c>
      <c r="O161" s="15">
        <v>9</v>
      </c>
      <c r="P161" s="26">
        <v>7</v>
      </c>
      <c r="Q161" s="15">
        <v>92</v>
      </c>
      <c r="R161" s="25"/>
    </row>
    <row r="162" spans="1:18" ht="16.5" x14ac:dyDescent="0.25">
      <c r="A162" t="s">
        <v>1</v>
      </c>
      <c r="B162">
        <v>4</v>
      </c>
      <c r="C162" s="7">
        <v>0.01</v>
      </c>
      <c r="D162" s="7">
        <v>0.09</v>
      </c>
      <c r="E162" s="7">
        <v>10</v>
      </c>
      <c r="F162" s="7">
        <v>0</v>
      </c>
      <c r="G162" s="7">
        <v>0</v>
      </c>
      <c r="H162" s="7">
        <v>0</v>
      </c>
      <c r="I162" s="7">
        <v>6.7000000000000004E-2</v>
      </c>
      <c r="J162" s="14">
        <v>0.34</v>
      </c>
      <c r="K162" s="15">
        <v>8</v>
      </c>
      <c r="L162" s="14">
        <v>8.0500000000000007</v>
      </c>
      <c r="M162" s="14">
        <v>7.21</v>
      </c>
      <c r="N162" s="16">
        <v>3.5</v>
      </c>
      <c r="O162" s="16">
        <v>8.1</v>
      </c>
      <c r="P162" s="26">
        <v>78</v>
      </c>
      <c r="Q162" s="15">
        <v>93</v>
      </c>
      <c r="R162" s="25"/>
    </row>
    <row r="163" spans="1:18" ht="16.5" x14ac:dyDescent="0.25">
      <c r="A163" t="s">
        <v>3</v>
      </c>
      <c r="B163">
        <v>4</v>
      </c>
      <c r="C163" s="7">
        <v>0.01</v>
      </c>
      <c r="D163" s="7">
        <v>0.09</v>
      </c>
      <c r="E163" s="7">
        <v>0</v>
      </c>
      <c r="F163" s="7">
        <v>0</v>
      </c>
      <c r="G163" s="7">
        <v>0</v>
      </c>
      <c r="H163" s="7">
        <v>0</v>
      </c>
      <c r="I163" s="7">
        <v>6.7000000000000004E-2</v>
      </c>
      <c r="J163" s="16">
        <v>0.5</v>
      </c>
      <c r="K163" s="15">
        <v>11</v>
      </c>
      <c r="L163" s="14">
        <v>7.82</v>
      </c>
      <c r="M163" s="14">
        <v>6.85</v>
      </c>
      <c r="N163" s="16">
        <v>4.0999999999999996</v>
      </c>
      <c r="O163" s="16">
        <v>12.7</v>
      </c>
      <c r="P163" s="26">
        <v>64</v>
      </c>
      <c r="Q163" s="15">
        <v>120</v>
      </c>
      <c r="R163" s="25"/>
    </row>
    <row r="164" spans="1:18" ht="16.5" x14ac:dyDescent="0.25">
      <c r="A164" t="s">
        <v>5</v>
      </c>
      <c r="B164">
        <v>4</v>
      </c>
      <c r="C164" s="17">
        <v>1.6E-2</v>
      </c>
      <c r="D164" s="7">
        <v>0</v>
      </c>
      <c r="E164" s="7">
        <v>10</v>
      </c>
      <c r="F164" s="7">
        <v>0</v>
      </c>
      <c r="G164" s="7">
        <v>0</v>
      </c>
      <c r="H164" s="7">
        <v>7.0000000000000001E-3</v>
      </c>
      <c r="I164" s="7">
        <v>6.7000000000000004E-2</v>
      </c>
      <c r="J164" s="16">
        <v>1</v>
      </c>
      <c r="K164" s="15">
        <v>16</v>
      </c>
      <c r="L164" s="14">
        <v>7.94</v>
      </c>
      <c r="M164" s="14">
        <v>7.42</v>
      </c>
      <c r="N164" s="16">
        <v>6.1</v>
      </c>
      <c r="O164" s="16">
        <v>12.3</v>
      </c>
      <c r="P164" s="26">
        <v>69</v>
      </c>
      <c r="Q164" s="15">
        <v>130</v>
      </c>
      <c r="R164" s="25"/>
    </row>
    <row r="165" spans="1:18" ht="16.5" x14ac:dyDescent="0.25">
      <c r="A165" t="s">
        <v>4</v>
      </c>
      <c r="B165">
        <v>4</v>
      </c>
      <c r="C165" s="17">
        <v>1.7000000000000001E-2</v>
      </c>
      <c r="D165" s="7">
        <v>0.09</v>
      </c>
      <c r="E165" s="7">
        <v>10</v>
      </c>
      <c r="F165" s="7">
        <v>0</v>
      </c>
      <c r="G165" s="7">
        <v>0</v>
      </c>
      <c r="H165" s="7">
        <v>7.0000000000000001E-3</v>
      </c>
      <c r="I165" s="7">
        <v>6.7000000000000004E-2</v>
      </c>
      <c r="J165" s="14">
        <v>0.47</v>
      </c>
      <c r="K165" s="15">
        <v>11</v>
      </c>
      <c r="L165" s="14">
        <v>7.91</v>
      </c>
      <c r="M165" s="14">
        <v>7.32</v>
      </c>
      <c r="N165" s="16">
        <v>3.3</v>
      </c>
      <c r="O165" s="16">
        <v>9.5</v>
      </c>
      <c r="P165" s="26">
        <v>88</v>
      </c>
      <c r="Q165" s="15">
        <v>82</v>
      </c>
      <c r="R165" s="25"/>
    </row>
    <row r="166" spans="1:18" ht="16.5" x14ac:dyDescent="0.25">
      <c r="A166" t="s">
        <v>2</v>
      </c>
      <c r="B166">
        <v>4</v>
      </c>
      <c r="C166" s="17">
        <v>8.4000000000000005E-2</v>
      </c>
      <c r="D166" s="7">
        <v>0.09</v>
      </c>
      <c r="E166" s="7">
        <v>10</v>
      </c>
      <c r="F166" s="7">
        <v>0</v>
      </c>
      <c r="G166" s="7">
        <v>7.0000000000000001E-3</v>
      </c>
      <c r="H166" s="7">
        <v>7.0000000000000001E-3</v>
      </c>
      <c r="I166" s="17">
        <v>0.19400000000000001</v>
      </c>
      <c r="J166" s="14">
        <v>1.45</v>
      </c>
      <c r="K166" s="15">
        <v>10</v>
      </c>
      <c r="L166" s="14">
        <v>7.69</v>
      </c>
      <c r="M166" s="14">
        <v>7.69</v>
      </c>
      <c r="N166" s="15">
        <v>6</v>
      </c>
      <c r="O166" s="16">
        <v>18.5</v>
      </c>
      <c r="P166" s="26">
        <v>20</v>
      </c>
      <c r="Q166" s="15">
        <v>480</v>
      </c>
      <c r="R166" s="25"/>
    </row>
    <row r="167" spans="1:18" ht="16.5" x14ac:dyDescent="0.25">
      <c r="A167" t="s">
        <v>6</v>
      </c>
      <c r="B167">
        <v>4</v>
      </c>
      <c r="C167" s="17">
        <v>1.0999999999999999E-2</v>
      </c>
      <c r="D167" s="7">
        <v>0.09</v>
      </c>
      <c r="E167" s="7">
        <v>10</v>
      </c>
      <c r="F167" s="7">
        <v>0</v>
      </c>
      <c r="G167" s="7">
        <v>7.0000000000000001E-3</v>
      </c>
      <c r="H167" s="7">
        <v>0</v>
      </c>
      <c r="I167" s="7">
        <v>6.7000000000000004E-2</v>
      </c>
      <c r="J167" s="14">
        <v>0.56000000000000005</v>
      </c>
      <c r="K167" s="15">
        <v>8</v>
      </c>
      <c r="L167" s="14">
        <v>7.74</v>
      </c>
      <c r="M167" s="14">
        <v>7.27</v>
      </c>
      <c r="N167" s="16">
        <v>4.3</v>
      </c>
      <c r="O167" s="16">
        <v>13.9</v>
      </c>
      <c r="P167" s="26">
        <v>34</v>
      </c>
      <c r="Q167" s="15">
        <v>170</v>
      </c>
      <c r="R167" s="25"/>
    </row>
    <row r="168" spans="1:18" ht="16.5" x14ac:dyDescent="0.25">
      <c r="A168" t="s">
        <v>7</v>
      </c>
      <c r="B168">
        <v>4</v>
      </c>
      <c r="C168" s="7">
        <v>0.01</v>
      </c>
      <c r="D168" s="7">
        <v>0.09</v>
      </c>
      <c r="E168" s="7">
        <v>0</v>
      </c>
      <c r="F168" s="7">
        <v>0</v>
      </c>
      <c r="G168" s="7">
        <v>7.0000000000000001E-3</v>
      </c>
      <c r="H168" s="14">
        <v>0.01</v>
      </c>
      <c r="I168" s="17">
        <v>0.105</v>
      </c>
      <c r="J168" s="14">
        <v>1.36</v>
      </c>
      <c r="K168" s="15">
        <v>19</v>
      </c>
      <c r="L168" s="14">
        <v>8.2100000000000009</v>
      </c>
      <c r="M168" s="14">
        <v>7.33</v>
      </c>
      <c r="N168" s="7">
        <v>3.3</v>
      </c>
      <c r="O168" s="16">
        <v>8.8000000000000007</v>
      </c>
      <c r="P168" s="15">
        <v>254</v>
      </c>
      <c r="Q168" s="15">
        <v>82</v>
      </c>
      <c r="R168" s="25"/>
    </row>
    <row r="169" spans="1:18" ht="16.5" x14ac:dyDescent="0.25">
      <c r="A169" t="s">
        <v>8</v>
      </c>
      <c r="B169">
        <v>4</v>
      </c>
      <c r="C169" s="17">
        <v>1.4999999999999999E-2</v>
      </c>
      <c r="D169" s="7">
        <v>0.09</v>
      </c>
      <c r="E169" s="7">
        <v>0</v>
      </c>
      <c r="F169" s="7">
        <v>0</v>
      </c>
      <c r="G169" s="7">
        <v>0</v>
      </c>
      <c r="H169" s="7">
        <v>7.0000000000000001E-3</v>
      </c>
      <c r="I169" s="17">
        <v>0.10100000000000001</v>
      </c>
      <c r="J169" s="14">
        <v>0.81</v>
      </c>
      <c r="K169" s="15">
        <v>18</v>
      </c>
      <c r="L169" s="14">
        <v>7.85</v>
      </c>
      <c r="M169" s="14">
        <v>6.62</v>
      </c>
      <c r="N169" s="7">
        <v>3.3</v>
      </c>
      <c r="O169" s="16">
        <v>9.1999999999999993</v>
      </c>
      <c r="P169" s="15">
        <v>76</v>
      </c>
      <c r="Q169" s="15">
        <v>100</v>
      </c>
      <c r="R169" s="25"/>
    </row>
    <row r="170" spans="1:18" ht="16.5" x14ac:dyDescent="0.25">
      <c r="A170" t="s">
        <v>9</v>
      </c>
      <c r="B170">
        <v>4</v>
      </c>
      <c r="C170" s="17">
        <v>1.2999999999999999E-2</v>
      </c>
      <c r="D170" s="7">
        <v>0</v>
      </c>
      <c r="E170" s="7">
        <v>0</v>
      </c>
      <c r="F170" s="7">
        <v>0</v>
      </c>
      <c r="G170" s="7">
        <v>0</v>
      </c>
      <c r="H170" s="7">
        <v>7.0000000000000001E-3</v>
      </c>
      <c r="I170" s="17">
        <v>9.7000000000000003E-2</v>
      </c>
      <c r="J170" s="14">
        <v>0.51</v>
      </c>
      <c r="K170" s="15">
        <v>16</v>
      </c>
      <c r="L170" s="14">
        <v>7.95</v>
      </c>
      <c r="M170" s="14">
        <v>6.73</v>
      </c>
      <c r="N170" s="16">
        <v>3.8</v>
      </c>
      <c r="O170" s="15">
        <v>12</v>
      </c>
      <c r="P170" s="15">
        <v>79</v>
      </c>
      <c r="Q170" s="15">
        <v>120</v>
      </c>
      <c r="R170" s="25"/>
    </row>
    <row r="171" spans="1:18" ht="16.5" x14ac:dyDescent="0.25">
      <c r="A171" t="s">
        <v>10</v>
      </c>
      <c r="B171">
        <v>4</v>
      </c>
      <c r="C171" s="14">
        <v>0.01</v>
      </c>
      <c r="D171" s="7">
        <v>0</v>
      </c>
      <c r="E171" s="7">
        <v>0</v>
      </c>
      <c r="F171" s="7">
        <v>0</v>
      </c>
      <c r="G171" s="7">
        <v>7.0000000000000001E-3</v>
      </c>
      <c r="H171" s="7">
        <v>7.0000000000000001E-3</v>
      </c>
      <c r="I171" s="7">
        <v>6.7000000000000004E-2</v>
      </c>
      <c r="J171" s="14">
        <v>0.53</v>
      </c>
      <c r="K171" s="15">
        <v>10</v>
      </c>
      <c r="L171" s="14">
        <v>7.83</v>
      </c>
      <c r="M171" s="14">
        <v>6.94</v>
      </c>
      <c r="N171" s="16">
        <v>3.8</v>
      </c>
      <c r="O171" s="16">
        <v>13.6</v>
      </c>
      <c r="P171" s="15">
        <v>96</v>
      </c>
      <c r="Q171" s="15">
        <v>140</v>
      </c>
      <c r="R171" s="25"/>
    </row>
    <row r="172" spans="1:18" ht="16.5" x14ac:dyDescent="0.25">
      <c r="A172" t="s">
        <v>11</v>
      </c>
      <c r="B172">
        <v>4</v>
      </c>
      <c r="C172" s="17">
        <v>2.9000000000000001E-2</v>
      </c>
      <c r="D172" s="17">
        <v>0.32800000000000001</v>
      </c>
      <c r="E172" s="7">
        <v>0</v>
      </c>
      <c r="F172" s="7">
        <v>0</v>
      </c>
      <c r="G172" s="7">
        <v>7.0000000000000001E-3</v>
      </c>
      <c r="H172" s="7">
        <v>7.0000000000000001E-3</v>
      </c>
      <c r="I172" s="17">
        <v>0.27800000000000002</v>
      </c>
      <c r="J172" s="14">
        <v>1.52</v>
      </c>
      <c r="K172" s="15">
        <v>12</v>
      </c>
      <c r="L172" s="14">
        <v>7.39</v>
      </c>
      <c r="M172" s="14">
        <v>5.25</v>
      </c>
      <c r="N172" s="16">
        <v>3.4</v>
      </c>
      <c r="O172" s="16">
        <v>11.8</v>
      </c>
      <c r="P172" s="15">
        <v>57</v>
      </c>
      <c r="Q172" s="15">
        <v>120</v>
      </c>
      <c r="R172" s="25"/>
    </row>
    <row r="173" spans="1:18" ht="16.5" x14ac:dyDescent="0.25">
      <c r="A173" t="s">
        <v>12</v>
      </c>
      <c r="B173">
        <v>4</v>
      </c>
      <c r="C173" s="17">
        <v>1.7999999999999999E-2</v>
      </c>
      <c r="D173" s="7">
        <v>0.09</v>
      </c>
      <c r="E173" s="16">
        <v>14.5</v>
      </c>
      <c r="F173" s="7">
        <v>0.1</v>
      </c>
      <c r="G173" s="17">
        <v>8.0000000000000002E-3</v>
      </c>
      <c r="H173" s="7">
        <v>0</v>
      </c>
      <c r="I173" s="7">
        <v>6.7000000000000004E-2</v>
      </c>
      <c r="J173" s="14">
        <v>0.99</v>
      </c>
      <c r="K173" s="15">
        <v>19</v>
      </c>
      <c r="L173" s="14">
        <v>8.06</v>
      </c>
      <c r="M173" s="14">
        <v>7.32</v>
      </c>
      <c r="N173" s="15">
        <v>4</v>
      </c>
      <c r="O173" s="16">
        <v>15.9</v>
      </c>
      <c r="P173" s="15">
        <v>56</v>
      </c>
      <c r="Q173" s="15">
        <v>610</v>
      </c>
      <c r="R173" s="25"/>
    </row>
    <row r="174" spans="1:18" ht="16.5" x14ac:dyDescent="0.25">
      <c r="A174" t="s">
        <v>13</v>
      </c>
      <c r="B174">
        <v>4</v>
      </c>
      <c r="C174" s="17">
        <v>2.1000000000000001E-2</v>
      </c>
      <c r="D174" s="17">
        <v>0.23599999999999999</v>
      </c>
      <c r="E174" s="16">
        <v>13.8</v>
      </c>
      <c r="F174" s="17">
        <v>0.29499999999999998</v>
      </c>
      <c r="G174" s="7">
        <v>7.0000000000000001E-3</v>
      </c>
      <c r="H174" s="7">
        <v>0</v>
      </c>
      <c r="I174" s="17">
        <v>0.35799999999999998</v>
      </c>
      <c r="J174" s="14">
        <v>0.73</v>
      </c>
      <c r="K174" s="15">
        <v>18</v>
      </c>
      <c r="L174" s="14">
        <v>7.98</v>
      </c>
      <c r="M174" s="14">
        <v>6.01</v>
      </c>
      <c r="N174" s="16">
        <v>6.1</v>
      </c>
      <c r="O174" s="16">
        <v>18.7</v>
      </c>
      <c r="P174" s="15">
        <v>38</v>
      </c>
      <c r="Q174" s="15">
        <v>1100</v>
      </c>
      <c r="R174" s="25"/>
    </row>
    <row r="175" spans="1:18" ht="16.5" x14ac:dyDescent="0.25">
      <c r="A175" t="s">
        <v>14</v>
      </c>
      <c r="B175">
        <v>4</v>
      </c>
      <c r="C175" s="14">
        <v>0.02</v>
      </c>
      <c r="D175" s="17">
        <v>0.57199999999999995</v>
      </c>
      <c r="E175" s="15">
        <v>21</v>
      </c>
      <c r="F175" s="17">
        <v>0.74299999999999999</v>
      </c>
      <c r="G175" s="7">
        <v>7.0000000000000001E-3</v>
      </c>
      <c r="H175" s="7">
        <v>7.0000000000000001E-3</v>
      </c>
      <c r="I175" s="17">
        <v>0.44500000000000001</v>
      </c>
      <c r="J175" s="14">
        <v>2.2799999999999998</v>
      </c>
      <c r="K175" s="15">
        <v>16</v>
      </c>
      <c r="L175" s="14">
        <v>7.54</v>
      </c>
      <c r="M175" s="14">
        <v>5.05</v>
      </c>
      <c r="N175" s="16">
        <v>7.2</v>
      </c>
      <c r="O175" s="16">
        <v>27.1</v>
      </c>
      <c r="P175" s="15">
        <v>23</v>
      </c>
      <c r="Q175" s="15">
        <v>910</v>
      </c>
      <c r="R175" s="25"/>
    </row>
    <row r="176" spans="1:18" ht="16.5" x14ac:dyDescent="0.25">
      <c r="A176" t="s">
        <v>15</v>
      </c>
      <c r="B176">
        <v>4</v>
      </c>
      <c r="C176" s="7">
        <v>0.01</v>
      </c>
      <c r="D176" s="17">
        <v>0.16600000000000001</v>
      </c>
      <c r="E176" s="7">
        <v>10</v>
      </c>
      <c r="F176" s="17">
        <v>0.161</v>
      </c>
      <c r="G176" s="7">
        <v>7.0000000000000001E-3</v>
      </c>
      <c r="H176" s="7">
        <v>0</v>
      </c>
      <c r="I176" s="17">
        <v>0.153</v>
      </c>
      <c r="J176" s="16">
        <v>1.1000000000000001</v>
      </c>
      <c r="K176" s="15">
        <v>11</v>
      </c>
      <c r="L176" s="16">
        <v>7.8</v>
      </c>
      <c r="M176" s="16">
        <v>6.8</v>
      </c>
      <c r="N176" s="16">
        <v>3.3</v>
      </c>
      <c r="O176" s="15">
        <v>14</v>
      </c>
      <c r="P176" s="15">
        <v>29</v>
      </c>
      <c r="Q176" s="15">
        <v>560</v>
      </c>
      <c r="R176" s="25"/>
    </row>
    <row r="177" spans="1:18" ht="16.5" x14ac:dyDescent="0.25">
      <c r="A177" t="s">
        <v>16</v>
      </c>
      <c r="B177">
        <v>4</v>
      </c>
      <c r="C177" s="14">
        <v>0.02</v>
      </c>
      <c r="D177" s="17">
        <v>0.64200000000000002</v>
      </c>
      <c r="E177" s="15">
        <v>75</v>
      </c>
      <c r="F177" s="17">
        <v>0.214</v>
      </c>
      <c r="G177" s="7">
        <v>7.0000000000000001E-3</v>
      </c>
      <c r="H177" s="7">
        <v>7.0000000000000001E-3</v>
      </c>
      <c r="I177" s="17">
        <v>0.28699999999999998</v>
      </c>
      <c r="J177" s="14">
        <v>1.24</v>
      </c>
      <c r="K177" s="15">
        <v>21</v>
      </c>
      <c r="L177" s="14">
        <v>7.58</v>
      </c>
      <c r="M177" s="14">
        <v>4.8099999999999996</v>
      </c>
      <c r="N177" s="16">
        <v>9.3000000000000007</v>
      </c>
      <c r="O177" s="16">
        <v>19.7</v>
      </c>
      <c r="P177" s="15">
        <v>27</v>
      </c>
      <c r="Q177" s="15">
        <v>825</v>
      </c>
      <c r="R177" s="25"/>
    </row>
    <row r="178" spans="1:18" ht="16.5" x14ac:dyDescent="0.25">
      <c r="A178" t="s">
        <v>17</v>
      </c>
      <c r="B178">
        <v>4</v>
      </c>
      <c r="C178" s="17">
        <v>1.6E-2</v>
      </c>
      <c r="D178" s="17">
        <v>0.17199999999999999</v>
      </c>
      <c r="E178" s="15">
        <v>31</v>
      </c>
      <c r="F178" s="7">
        <v>0</v>
      </c>
      <c r="G178" s="7">
        <v>7.0000000000000001E-3</v>
      </c>
      <c r="H178" s="7">
        <v>7.0000000000000001E-3</v>
      </c>
      <c r="I178" s="17">
        <v>0.29799999999999999</v>
      </c>
      <c r="J178" s="16">
        <v>2.2999999999999998</v>
      </c>
      <c r="K178" s="15">
        <v>19</v>
      </c>
      <c r="L178" s="14">
        <v>7.68</v>
      </c>
      <c r="M178" s="14">
        <v>6.31</v>
      </c>
      <c r="N178" s="16">
        <v>5.8</v>
      </c>
      <c r="O178" s="16">
        <v>16.8</v>
      </c>
      <c r="P178" s="15">
        <v>73</v>
      </c>
      <c r="Q178" s="15">
        <v>610</v>
      </c>
      <c r="R178" s="25"/>
    </row>
    <row r="179" spans="1:18" ht="16.5" x14ac:dyDescent="0.25">
      <c r="A179" t="s">
        <v>18</v>
      </c>
      <c r="B179">
        <v>4</v>
      </c>
      <c r="C179" s="7">
        <v>0</v>
      </c>
      <c r="D179" s="7">
        <v>0</v>
      </c>
      <c r="E179" s="7">
        <v>10</v>
      </c>
      <c r="F179" s="7">
        <v>0</v>
      </c>
      <c r="G179" s="7">
        <v>7.0000000000000001E-3</v>
      </c>
      <c r="H179" s="7">
        <v>0</v>
      </c>
      <c r="I179" s="7">
        <v>6.7000000000000004E-2</v>
      </c>
      <c r="J179" s="14">
        <v>0.27</v>
      </c>
      <c r="K179" s="15">
        <v>11</v>
      </c>
      <c r="L179" s="14">
        <v>8.25</v>
      </c>
      <c r="M179" s="14">
        <v>7.81</v>
      </c>
      <c r="N179" s="16">
        <v>5.6</v>
      </c>
      <c r="O179" s="16">
        <v>9.9</v>
      </c>
      <c r="P179" s="15">
        <v>10</v>
      </c>
      <c r="Q179" s="15">
        <v>91</v>
      </c>
      <c r="R179" s="25"/>
    </row>
    <row r="180" spans="1:18" ht="16.5" x14ac:dyDescent="0.25">
      <c r="A180" t="s">
        <v>19</v>
      </c>
      <c r="B180">
        <v>4</v>
      </c>
      <c r="C180" s="7">
        <v>0.01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6.7000000000000004E-2</v>
      </c>
      <c r="J180" s="14">
        <v>0.44</v>
      </c>
      <c r="K180" s="15">
        <v>12</v>
      </c>
      <c r="L180" s="16">
        <v>7.4</v>
      </c>
      <c r="M180" s="14">
        <v>7.39</v>
      </c>
      <c r="N180" s="16">
        <v>5.5</v>
      </c>
      <c r="O180" s="15">
        <v>9</v>
      </c>
      <c r="P180" s="15">
        <v>8</v>
      </c>
      <c r="Q180" s="15">
        <v>83</v>
      </c>
      <c r="R180" s="25"/>
    </row>
    <row r="181" spans="1:18" ht="16.5" x14ac:dyDescent="0.25">
      <c r="A181" t="s">
        <v>20</v>
      </c>
      <c r="B181">
        <v>4</v>
      </c>
      <c r="C181" s="7">
        <v>0.01</v>
      </c>
      <c r="D181" s="7">
        <v>0</v>
      </c>
      <c r="E181" s="7">
        <v>0</v>
      </c>
      <c r="F181" s="17">
        <v>0.214</v>
      </c>
      <c r="G181" s="7">
        <v>0</v>
      </c>
      <c r="H181" s="7">
        <v>0</v>
      </c>
      <c r="I181" s="17">
        <v>7.3999999999999996E-2</v>
      </c>
      <c r="J181" s="14">
        <v>0.37</v>
      </c>
      <c r="K181" s="15">
        <v>6</v>
      </c>
      <c r="L181" s="14">
        <v>7.87</v>
      </c>
      <c r="M181" s="14">
        <v>7.13</v>
      </c>
      <c r="N181" s="16">
        <v>6.1</v>
      </c>
      <c r="O181" s="16">
        <v>12.7</v>
      </c>
      <c r="P181" s="15">
        <v>5</v>
      </c>
      <c r="Q181" s="15">
        <v>105</v>
      </c>
      <c r="R181" s="25"/>
    </row>
    <row r="182" spans="1:18" ht="16.5" x14ac:dyDescent="0.25">
      <c r="A182" t="s">
        <v>21</v>
      </c>
      <c r="B182">
        <v>4</v>
      </c>
      <c r="C182" s="7">
        <v>0.01</v>
      </c>
      <c r="D182" s="7">
        <v>0</v>
      </c>
      <c r="E182" s="7">
        <v>0</v>
      </c>
      <c r="F182" s="7">
        <v>0</v>
      </c>
      <c r="G182" s="7">
        <v>7.0000000000000001E-3</v>
      </c>
      <c r="H182" s="7">
        <v>0</v>
      </c>
      <c r="I182" s="7">
        <v>6.7000000000000004E-2</v>
      </c>
      <c r="J182" s="14">
        <v>0.41</v>
      </c>
      <c r="K182" s="15">
        <v>20</v>
      </c>
      <c r="L182" s="14">
        <v>8.09</v>
      </c>
      <c r="M182" s="14">
        <v>6.86</v>
      </c>
      <c r="N182" s="16">
        <v>5.6</v>
      </c>
      <c r="O182" s="16">
        <v>11.8</v>
      </c>
      <c r="P182" s="15">
        <v>19</v>
      </c>
      <c r="Q182" s="15">
        <v>170</v>
      </c>
      <c r="R182" s="25"/>
    </row>
    <row r="183" spans="1:18" ht="16.5" x14ac:dyDescent="0.25">
      <c r="A183" t="s">
        <v>22</v>
      </c>
      <c r="B183">
        <v>4</v>
      </c>
      <c r="C183" s="7">
        <v>0.01</v>
      </c>
      <c r="D183" s="7">
        <v>0</v>
      </c>
      <c r="E183" s="7">
        <v>0</v>
      </c>
      <c r="F183" s="7">
        <v>0</v>
      </c>
      <c r="G183" s="7">
        <v>0</v>
      </c>
      <c r="H183" s="7">
        <v>7.0000000000000001E-3</v>
      </c>
      <c r="I183" s="7">
        <v>6.7000000000000004E-2</v>
      </c>
      <c r="J183" s="14">
        <v>0.68</v>
      </c>
      <c r="K183" s="15">
        <v>8</v>
      </c>
      <c r="L183" s="14">
        <v>7.71</v>
      </c>
      <c r="M183" s="14">
        <v>6.81</v>
      </c>
      <c r="N183" s="7">
        <v>3.3</v>
      </c>
      <c r="O183" s="16">
        <v>8.1</v>
      </c>
      <c r="P183" s="15">
        <v>53</v>
      </c>
      <c r="Q183" s="15">
        <v>100</v>
      </c>
      <c r="R183" s="25"/>
    </row>
    <row r="184" spans="1:18" ht="16.5" x14ac:dyDescent="0.25">
      <c r="A184" t="s">
        <v>23</v>
      </c>
      <c r="B184">
        <v>4</v>
      </c>
      <c r="C184" s="7">
        <v>0</v>
      </c>
      <c r="D184" s="7">
        <v>0</v>
      </c>
      <c r="E184" s="7">
        <v>10</v>
      </c>
      <c r="F184" s="17">
        <v>0.27800000000000002</v>
      </c>
      <c r="G184" s="7">
        <v>0</v>
      </c>
      <c r="H184" s="7">
        <v>0</v>
      </c>
      <c r="I184" s="7">
        <v>0</v>
      </c>
      <c r="J184" s="14">
        <v>0.16</v>
      </c>
      <c r="K184" s="15">
        <v>6</v>
      </c>
      <c r="L184" s="14">
        <v>8.68</v>
      </c>
      <c r="M184" s="14">
        <v>6.45</v>
      </c>
      <c r="N184" s="16">
        <v>5.8</v>
      </c>
      <c r="O184" s="15">
        <v>9</v>
      </c>
      <c r="P184" s="7">
        <v>5</v>
      </c>
      <c r="Q184" s="15">
        <v>100</v>
      </c>
      <c r="R184" s="25"/>
    </row>
    <row r="185" spans="1:18" ht="16.5" x14ac:dyDescent="0.25">
      <c r="A185" t="s">
        <v>24</v>
      </c>
      <c r="B185">
        <v>4</v>
      </c>
      <c r="C185" s="7">
        <v>0.01</v>
      </c>
      <c r="D185" s="7">
        <v>0</v>
      </c>
      <c r="E185" s="7">
        <v>0</v>
      </c>
      <c r="F185" s="7">
        <v>0</v>
      </c>
      <c r="G185" s="7">
        <v>7.0000000000000001E-3</v>
      </c>
      <c r="H185" s="7">
        <v>7.0000000000000001E-3</v>
      </c>
      <c r="I185" s="7">
        <v>6.7000000000000004E-2</v>
      </c>
      <c r="J185" s="14">
        <v>1.01</v>
      </c>
      <c r="K185" s="15">
        <v>15</v>
      </c>
      <c r="L185" s="16">
        <v>8.6</v>
      </c>
      <c r="M185" s="16">
        <v>6.5</v>
      </c>
      <c r="N185" s="16">
        <v>5.5</v>
      </c>
      <c r="O185" s="16">
        <v>8.1</v>
      </c>
      <c r="P185" s="15">
        <v>47</v>
      </c>
      <c r="Q185" s="15">
        <v>93</v>
      </c>
      <c r="R185" s="25"/>
    </row>
    <row r="186" spans="1:18" ht="16.5" x14ac:dyDescent="0.25">
      <c r="A186" t="s">
        <v>25</v>
      </c>
      <c r="B186">
        <v>4</v>
      </c>
      <c r="C186" s="7">
        <v>0.01</v>
      </c>
      <c r="D186" s="17">
        <v>0.22500000000000001</v>
      </c>
      <c r="E186" s="7">
        <v>0</v>
      </c>
      <c r="F186" s="17">
        <v>0.10299999999999999</v>
      </c>
      <c r="G186" s="17">
        <v>8.0000000000000002E-3</v>
      </c>
      <c r="H186" s="7">
        <v>0</v>
      </c>
      <c r="I186" s="7">
        <v>6.7000000000000004E-2</v>
      </c>
      <c r="J186" s="14">
        <v>0.41</v>
      </c>
      <c r="K186" s="15">
        <v>4</v>
      </c>
      <c r="L186" s="14">
        <v>7.86</v>
      </c>
      <c r="M186" s="14">
        <v>7.27</v>
      </c>
      <c r="N186" s="16">
        <v>5.6</v>
      </c>
      <c r="O186" s="16">
        <v>9.9</v>
      </c>
      <c r="P186" s="15">
        <v>6</v>
      </c>
      <c r="Q186" s="15">
        <v>120</v>
      </c>
      <c r="R186" s="25"/>
    </row>
    <row r="187" spans="1:18" ht="16.5" x14ac:dyDescent="0.25">
      <c r="A187" t="s">
        <v>26</v>
      </c>
      <c r="B187">
        <v>4</v>
      </c>
      <c r="C187" s="7">
        <v>0</v>
      </c>
      <c r="D187" s="7">
        <v>0</v>
      </c>
      <c r="E187" s="7">
        <v>0</v>
      </c>
      <c r="F187" s="7">
        <v>0</v>
      </c>
      <c r="G187" s="17">
        <v>3.3000000000000002E-2</v>
      </c>
      <c r="H187" s="7">
        <v>0</v>
      </c>
      <c r="I187" s="17">
        <v>0.40300000000000002</v>
      </c>
      <c r="J187" s="16">
        <v>2.4</v>
      </c>
      <c r="K187" s="15">
        <v>15</v>
      </c>
      <c r="L187" s="16">
        <v>7.6</v>
      </c>
      <c r="M187" s="14">
        <v>6.95</v>
      </c>
      <c r="N187" s="16">
        <v>6.6</v>
      </c>
      <c r="O187" s="16">
        <v>15.4</v>
      </c>
      <c r="P187" s="15">
        <v>16</v>
      </c>
      <c r="Q187" s="15">
        <v>140</v>
      </c>
      <c r="R187" s="25"/>
    </row>
    <row r="188" spans="1:18" ht="16.5" x14ac:dyDescent="0.25">
      <c r="A188" t="s">
        <v>27</v>
      </c>
      <c r="B188">
        <v>4</v>
      </c>
      <c r="C188" s="7">
        <v>0.01</v>
      </c>
      <c r="D188" s="7">
        <v>0.09</v>
      </c>
      <c r="E188" s="7">
        <v>0</v>
      </c>
      <c r="F188" s="7">
        <v>0.1</v>
      </c>
      <c r="G188" s="17">
        <v>0.01</v>
      </c>
      <c r="H188" s="14">
        <v>0.01</v>
      </c>
      <c r="I188" s="17">
        <v>0.26500000000000001</v>
      </c>
      <c r="J188" s="16">
        <v>2.5</v>
      </c>
      <c r="K188" s="15">
        <v>20</v>
      </c>
      <c r="L188" s="14">
        <v>8.0399999999999991</v>
      </c>
      <c r="M188" s="14">
        <v>7.35</v>
      </c>
      <c r="N188" s="16">
        <v>6.9</v>
      </c>
      <c r="O188" s="15">
        <v>9</v>
      </c>
      <c r="P188" s="15">
        <v>286</v>
      </c>
      <c r="Q188" s="15">
        <v>120</v>
      </c>
      <c r="R188" s="25"/>
    </row>
    <row r="189" spans="1:18" ht="16.5" x14ac:dyDescent="0.25">
      <c r="A189" t="s">
        <v>28</v>
      </c>
      <c r="B189">
        <v>4</v>
      </c>
      <c r="C189" s="17">
        <v>1.2E-2</v>
      </c>
      <c r="D189" s="7">
        <v>0.09</v>
      </c>
      <c r="E189" s="15">
        <v>11</v>
      </c>
      <c r="F189" s="7">
        <v>0</v>
      </c>
      <c r="G189" s="7">
        <v>0</v>
      </c>
      <c r="H189" s="7">
        <v>0</v>
      </c>
      <c r="I189" s="7">
        <v>0</v>
      </c>
      <c r="J189" s="14">
        <v>0.43</v>
      </c>
      <c r="K189" s="15">
        <v>14</v>
      </c>
      <c r="L189" s="14">
        <v>8.34</v>
      </c>
      <c r="M189" s="14">
        <v>7.08</v>
      </c>
      <c r="N189" s="16">
        <v>3.7</v>
      </c>
      <c r="O189" s="16">
        <v>14.6</v>
      </c>
      <c r="P189" s="15">
        <v>22</v>
      </c>
      <c r="Q189" s="15">
        <v>365</v>
      </c>
      <c r="R189" s="25"/>
    </row>
    <row r="190" spans="1:18" ht="16.5" x14ac:dyDescent="0.25">
      <c r="A190" t="s">
        <v>29</v>
      </c>
      <c r="B190">
        <v>4</v>
      </c>
      <c r="C190" s="17">
        <v>1.0999999999999999E-2</v>
      </c>
      <c r="D190" s="17">
        <v>0.19700000000000001</v>
      </c>
      <c r="E190" s="16">
        <v>50.4</v>
      </c>
      <c r="F190" s="17">
        <v>0.23100000000000001</v>
      </c>
      <c r="G190" s="17">
        <v>8.9999999999999993E-3</v>
      </c>
      <c r="H190" s="7">
        <v>7.0000000000000001E-3</v>
      </c>
      <c r="I190" s="17">
        <v>0.46800000000000003</v>
      </c>
      <c r="J190" s="14">
        <v>1.63</v>
      </c>
      <c r="K190" s="15">
        <v>16</v>
      </c>
      <c r="L190" s="14">
        <v>7.36</v>
      </c>
      <c r="M190" s="14">
        <v>4.53</v>
      </c>
      <c r="N190" s="16">
        <v>6.6</v>
      </c>
      <c r="O190" s="16">
        <v>15.5</v>
      </c>
      <c r="P190" s="15">
        <v>22</v>
      </c>
      <c r="Q190" s="15">
        <v>680</v>
      </c>
      <c r="R190" s="25"/>
    </row>
    <row r="191" spans="1:18" ht="16.5" x14ac:dyDescent="0.25">
      <c r="A191" t="s">
        <v>30</v>
      </c>
      <c r="B191">
        <v>4</v>
      </c>
      <c r="C191" s="17">
        <v>1.4E-2</v>
      </c>
      <c r="D191" s="17">
        <v>0.35199999999999998</v>
      </c>
      <c r="E191" s="16">
        <v>32.6</v>
      </c>
      <c r="F191" s="16">
        <v>0.4</v>
      </c>
      <c r="G191" s="7">
        <v>7.0000000000000001E-3</v>
      </c>
      <c r="H191" s="7">
        <v>0</v>
      </c>
      <c r="I191" s="17">
        <v>0.53800000000000003</v>
      </c>
      <c r="J191" s="16">
        <v>1.7</v>
      </c>
      <c r="K191" s="15">
        <v>22</v>
      </c>
      <c r="L191" s="14">
        <v>7.64</v>
      </c>
      <c r="M191" s="14">
        <v>8.2100000000000009</v>
      </c>
      <c r="N191" s="15">
        <v>13</v>
      </c>
      <c r="O191" s="16">
        <v>25.3</v>
      </c>
      <c r="P191" s="15">
        <v>15</v>
      </c>
      <c r="Q191" s="15">
        <v>360</v>
      </c>
      <c r="R191" s="25"/>
    </row>
    <row r="192" spans="1:18" ht="16.5" x14ac:dyDescent="0.25">
      <c r="A192" t="s">
        <v>31</v>
      </c>
      <c r="B192">
        <v>4</v>
      </c>
      <c r="C192" s="17">
        <v>6.8000000000000005E-2</v>
      </c>
      <c r="D192" s="17">
        <v>0.114</v>
      </c>
      <c r="E192" s="15">
        <v>11</v>
      </c>
      <c r="F192" s="17">
        <v>0.254</v>
      </c>
      <c r="G192" s="7">
        <v>7.0000000000000001E-3</v>
      </c>
      <c r="H192" s="7">
        <v>7.0000000000000001E-3</v>
      </c>
      <c r="I192" s="17">
        <v>7.0999999999999994E-2</v>
      </c>
      <c r="J192" s="14">
        <v>0.14000000000000001</v>
      </c>
      <c r="K192" s="15">
        <v>15</v>
      </c>
      <c r="L192" s="14">
        <v>8.15</v>
      </c>
      <c r="M192" s="14">
        <v>8.11</v>
      </c>
      <c r="N192" s="16">
        <v>5.9</v>
      </c>
      <c r="O192" s="16">
        <v>15.7</v>
      </c>
      <c r="P192" s="15">
        <v>23</v>
      </c>
      <c r="Q192" s="15">
        <v>820</v>
      </c>
      <c r="R192" s="25"/>
    </row>
    <row r="193" spans="1:18" ht="16.5" x14ac:dyDescent="0.25">
      <c r="A193" t="s">
        <v>32</v>
      </c>
      <c r="B193">
        <v>4</v>
      </c>
      <c r="C193" s="17">
        <v>0.111</v>
      </c>
      <c r="D193" s="7">
        <v>0.09</v>
      </c>
      <c r="E193" s="16">
        <v>23.4</v>
      </c>
      <c r="F193" s="17">
        <v>0.80100000000000005</v>
      </c>
      <c r="G193" s="7">
        <v>0</v>
      </c>
      <c r="H193" s="7">
        <v>0</v>
      </c>
      <c r="I193" s="7">
        <v>6.7000000000000004E-2</v>
      </c>
      <c r="J193" s="14">
        <v>0.11</v>
      </c>
      <c r="K193" s="15">
        <v>14</v>
      </c>
      <c r="L193" s="14">
        <v>7.99</v>
      </c>
      <c r="M193" s="14">
        <v>7.2</v>
      </c>
      <c r="N193" s="16">
        <v>6.2</v>
      </c>
      <c r="O193" s="16">
        <v>18.5</v>
      </c>
      <c r="P193" s="15">
        <v>22</v>
      </c>
      <c r="Q193" s="15">
        <v>910</v>
      </c>
      <c r="R193" s="25"/>
    </row>
    <row r="194" spans="1:18" ht="16.5" x14ac:dyDescent="0.25">
      <c r="A194" t="s">
        <v>33</v>
      </c>
      <c r="B194">
        <v>4</v>
      </c>
      <c r="C194" s="17">
        <v>0.13400000000000001</v>
      </c>
      <c r="D194" s="7">
        <v>0.09</v>
      </c>
      <c r="E194" s="15">
        <v>79</v>
      </c>
      <c r="F194" s="17">
        <v>0.65</v>
      </c>
      <c r="G194" s="7">
        <v>7.0000000000000001E-3</v>
      </c>
      <c r="H194" s="17">
        <v>8.9999999999999993E-3</v>
      </c>
      <c r="I194" s="17">
        <v>6.9000000000000006E-2</v>
      </c>
      <c r="J194" s="14">
        <v>0.28999999999999998</v>
      </c>
      <c r="K194" s="15">
        <v>18</v>
      </c>
      <c r="L194" s="14">
        <v>8.1</v>
      </c>
      <c r="M194" s="14">
        <v>6.6</v>
      </c>
      <c r="N194" s="16">
        <v>6.3</v>
      </c>
      <c r="O194" s="16">
        <v>16.600000000000001</v>
      </c>
      <c r="P194" s="15">
        <v>27</v>
      </c>
      <c r="Q194" s="15">
        <v>830</v>
      </c>
      <c r="R194" s="25"/>
    </row>
    <row r="195" spans="1:18" ht="16.5" x14ac:dyDescent="0.25">
      <c r="A195" t="s">
        <v>34</v>
      </c>
      <c r="B195">
        <v>4</v>
      </c>
      <c r="C195" s="17">
        <v>1.2999999999999999E-2</v>
      </c>
      <c r="D195" s="7">
        <v>0.09</v>
      </c>
      <c r="E195" s="16">
        <v>13.7</v>
      </c>
      <c r="F195" s="17">
        <v>0.13200000000000001</v>
      </c>
      <c r="G195" s="7">
        <v>7.0000000000000001E-3</v>
      </c>
      <c r="H195" s="7">
        <v>0</v>
      </c>
      <c r="I195" s="17">
        <v>0.53900000000000003</v>
      </c>
      <c r="J195" s="14">
        <v>1.36</v>
      </c>
      <c r="K195" s="15">
        <v>16</v>
      </c>
      <c r="L195" s="14">
        <v>7.64</v>
      </c>
      <c r="M195" s="14">
        <v>4.3</v>
      </c>
      <c r="N195" s="16">
        <v>6.7</v>
      </c>
      <c r="O195" s="16">
        <v>18.3</v>
      </c>
      <c r="P195" s="15">
        <v>39</v>
      </c>
      <c r="Q195" s="15">
        <v>930</v>
      </c>
      <c r="R195" s="25"/>
    </row>
    <row r="196" spans="1:18" ht="16.5" x14ac:dyDescent="0.25">
      <c r="A196" t="s">
        <v>35</v>
      </c>
      <c r="B196">
        <v>4</v>
      </c>
      <c r="C196" s="7">
        <v>0.01</v>
      </c>
      <c r="D196" s="7">
        <v>0</v>
      </c>
      <c r="E196" s="7">
        <v>10</v>
      </c>
      <c r="F196" s="7">
        <v>0</v>
      </c>
      <c r="G196" s="7">
        <v>0</v>
      </c>
      <c r="H196" s="7">
        <v>7.0000000000000001E-3</v>
      </c>
      <c r="I196" s="17">
        <v>0.159</v>
      </c>
      <c r="J196" s="14">
        <v>0.81</v>
      </c>
      <c r="K196" s="15">
        <v>18</v>
      </c>
      <c r="L196" s="14">
        <v>7.82</v>
      </c>
      <c r="M196" s="14">
        <v>6.89</v>
      </c>
      <c r="N196" s="16">
        <v>4.7</v>
      </c>
      <c r="O196" s="16">
        <v>17.399999999999999</v>
      </c>
      <c r="P196" s="15">
        <v>19</v>
      </c>
      <c r="Q196" s="15">
        <v>820</v>
      </c>
      <c r="R196" s="25"/>
    </row>
    <row r="197" spans="1:18" ht="16.5" x14ac:dyDescent="0.25">
      <c r="A197" t="s">
        <v>36</v>
      </c>
      <c r="B197">
        <v>4</v>
      </c>
      <c r="C197" s="17">
        <v>1.6E-2</v>
      </c>
      <c r="D197" s="7">
        <v>0.09</v>
      </c>
      <c r="E197" s="16">
        <v>14.5</v>
      </c>
      <c r="F197" s="7">
        <v>0.1</v>
      </c>
      <c r="G197" s="17">
        <v>8.0000000000000002E-3</v>
      </c>
      <c r="H197" s="7">
        <v>0</v>
      </c>
      <c r="I197" s="17">
        <v>0.40200000000000002</v>
      </c>
      <c r="J197" s="16">
        <v>2.8</v>
      </c>
      <c r="K197" s="15">
        <v>19</v>
      </c>
      <c r="L197" s="16">
        <v>7.3</v>
      </c>
      <c r="M197" s="14">
        <v>2.2000000000000002</v>
      </c>
      <c r="N197" s="16">
        <v>7.2</v>
      </c>
      <c r="O197" s="16">
        <v>18.3</v>
      </c>
      <c r="P197" s="15">
        <v>37</v>
      </c>
      <c r="Q197" s="15">
        <v>610</v>
      </c>
      <c r="R197" s="25"/>
    </row>
    <row r="198" spans="1:18" ht="16.5" x14ac:dyDescent="0.25">
      <c r="A198" t="s">
        <v>37</v>
      </c>
      <c r="B198">
        <v>4</v>
      </c>
      <c r="C198" s="17">
        <v>3.1E-2</v>
      </c>
      <c r="D198" s="17">
        <v>0.16200000000000001</v>
      </c>
      <c r="E198" s="15">
        <v>41</v>
      </c>
      <c r="F198" s="17">
        <v>0.184</v>
      </c>
      <c r="G198" s="7">
        <v>7.0000000000000001E-3</v>
      </c>
      <c r="H198" s="7">
        <v>0</v>
      </c>
      <c r="I198" s="17">
        <v>0.218</v>
      </c>
      <c r="J198" s="14">
        <v>0.75</v>
      </c>
      <c r="K198" s="15">
        <v>12</v>
      </c>
      <c r="L198" s="14">
        <v>7.34</v>
      </c>
      <c r="M198" s="14">
        <v>4.3899999999999997</v>
      </c>
      <c r="N198" s="15">
        <v>4</v>
      </c>
      <c r="O198" s="16">
        <v>16.5</v>
      </c>
      <c r="P198" s="15">
        <v>20</v>
      </c>
      <c r="Q198" s="15">
        <v>920</v>
      </c>
      <c r="R198" s="25"/>
    </row>
    <row r="199" spans="1:18" ht="16.5" x14ac:dyDescent="0.25">
      <c r="A199" t="s">
        <v>38</v>
      </c>
      <c r="B199">
        <v>4</v>
      </c>
      <c r="C199" s="17">
        <v>6.2E-2</v>
      </c>
      <c r="D199" s="17">
        <v>1.3779999999999999</v>
      </c>
      <c r="E199" s="16">
        <v>43.2</v>
      </c>
      <c r="F199" s="17">
        <v>0.38800000000000001</v>
      </c>
      <c r="G199" s="7">
        <v>7.0000000000000001E-3</v>
      </c>
      <c r="H199" s="7">
        <v>0</v>
      </c>
      <c r="I199" s="17">
        <v>1.2529999999999999</v>
      </c>
      <c r="J199" s="16">
        <v>2.2000000000000002</v>
      </c>
      <c r="K199" s="15">
        <v>21</v>
      </c>
      <c r="L199" s="14">
        <v>7.83</v>
      </c>
      <c r="M199" s="14">
        <v>7.96</v>
      </c>
      <c r="N199" s="16">
        <v>9.3000000000000007</v>
      </c>
      <c r="O199" s="16">
        <v>20.6</v>
      </c>
      <c r="P199" s="15">
        <v>37</v>
      </c>
      <c r="Q199" s="15">
        <v>180</v>
      </c>
      <c r="R199" s="25"/>
    </row>
    <row r="200" spans="1:18" ht="16.5" x14ac:dyDescent="0.25">
      <c r="A200" t="s">
        <v>39</v>
      </c>
      <c r="B200">
        <v>4</v>
      </c>
      <c r="C200" s="7">
        <v>0.01</v>
      </c>
      <c r="D200" s="7">
        <v>0.09</v>
      </c>
      <c r="E200" s="15">
        <v>29</v>
      </c>
      <c r="F200" s="17">
        <v>0.48699999999999999</v>
      </c>
      <c r="G200" s="7">
        <v>7.0000000000000001E-3</v>
      </c>
      <c r="H200" s="7">
        <v>0</v>
      </c>
      <c r="I200" s="17">
        <v>0.39500000000000002</v>
      </c>
      <c r="J200" s="14">
        <v>0.85</v>
      </c>
      <c r="K200" s="15">
        <v>14</v>
      </c>
      <c r="L200" s="14">
        <v>8.02</v>
      </c>
      <c r="M200" s="16">
        <v>7.5</v>
      </c>
      <c r="N200" s="16">
        <v>8.3000000000000007</v>
      </c>
      <c r="O200" s="16">
        <v>18.7</v>
      </c>
      <c r="P200" s="15">
        <v>11</v>
      </c>
      <c r="Q200" s="15">
        <v>600</v>
      </c>
      <c r="R200" s="25"/>
    </row>
    <row r="201" spans="1:18" ht="16.5" x14ac:dyDescent="0.25">
      <c r="A201" t="s">
        <v>40</v>
      </c>
      <c r="B201">
        <v>4</v>
      </c>
      <c r="C201" s="17">
        <v>1.6E-2</v>
      </c>
      <c r="D201" s="7">
        <v>0.09</v>
      </c>
      <c r="E201" s="15">
        <v>269</v>
      </c>
      <c r="F201" s="7">
        <v>0.1</v>
      </c>
      <c r="G201" s="7">
        <v>7.0000000000000001E-3</v>
      </c>
      <c r="H201" s="7">
        <v>0</v>
      </c>
      <c r="I201" s="17">
        <v>0.21099999999999999</v>
      </c>
      <c r="J201" s="14">
        <v>1.22</v>
      </c>
      <c r="K201" s="15">
        <v>19</v>
      </c>
      <c r="L201" s="16">
        <v>7.9</v>
      </c>
      <c r="M201" s="14">
        <v>7.81</v>
      </c>
      <c r="N201" s="16">
        <v>8.8000000000000007</v>
      </c>
      <c r="O201" s="16">
        <v>25.3</v>
      </c>
      <c r="P201" s="15">
        <v>56</v>
      </c>
      <c r="Q201" s="15">
        <v>1200</v>
      </c>
      <c r="R201" s="25"/>
    </row>
    <row r="202" spans="1:18" ht="16.5" x14ac:dyDescent="0.25">
      <c r="A202" t="s">
        <v>41</v>
      </c>
      <c r="B202">
        <v>4</v>
      </c>
      <c r="C202" s="17">
        <v>1.4E-2</v>
      </c>
      <c r="D202" s="7">
        <v>0.09</v>
      </c>
      <c r="E202" s="15">
        <v>347</v>
      </c>
      <c r="F202" s="17">
        <v>0.45800000000000002</v>
      </c>
      <c r="G202" s="7">
        <v>7.0000000000000001E-3</v>
      </c>
      <c r="H202" s="7">
        <v>0</v>
      </c>
      <c r="I202" s="17">
        <v>0.30399999999999999</v>
      </c>
      <c r="J202" s="14">
        <v>0.51</v>
      </c>
      <c r="K202" s="15">
        <v>16</v>
      </c>
      <c r="L202" s="14">
        <v>7.83</v>
      </c>
      <c r="M202" s="14">
        <v>7.63</v>
      </c>
      <c r="N202" s="16">
        <v>6.1</v>
      </c>
      <c r="O202" s="16">
        <v>24.3</v>
      </c>
      <c r="P202" s="15">
        <v>7</v>
      </c>
      <c r="Q202" s="15">
        <v>370</v>
      </c>
      <c r="R202" s="25"/>
    </row>
    <row r="203" spans="1:18" ht="16.5" x14ac:dyDescent="0.25">
      <c r="A203" t="s">
        <v>42</v>
      </c>
      <c r="B203">
        <v>4</v>
      </c>
      <c r="C203" s="17">
        <v>0.121</v>
      </c>
      <c r="D203" s="7">
        <v>0</v>
      </c>
      <c r="E203" s="16">
        <v>13.7</v>
      </c>
      <c r="F203" s="17">
        <v>0.34599999999999997</v>
      </c>
      <c r="G203" s="7">
        <v>0</v>
      </c>
      <c r="H203" s="7">
        <v>7.0000000000000001E-3</v>
      </c>
      <c r="I203" s="7">
        <v>6.7000000000000004E-2</v>
      </c>
      <c r="J203" s="14">
        <v>0.17</v>
      </c>
      <c r="K203" s="15">
        <v>12</v>
      </c>
      <c r="L203" s="14">
        <v>8.4</v>
      </c>
      <c r="M203" s="14">
        <v>8.44</v>
      </c>
      <c r="N203" s="16">
        <v>4.8</v>
      </c>
      <c r="O203" s="16">
        <v>13.9</v>
      </c>
      <c r="P203" s="15">
        <v>14</v>
      </c>
      <c r="Q203" s="15">
        <v>550</v>
      </c>
      <c r="R203" s="25"/>
    </row>
    <row r="204" spans="1:18" ht="16.5" x14ac:dyDescent="0.25">
      <c r="A204" t="s">
        <v>43</v>
      </c>
      <c r="B204">
        <v>4</v>
      </c>
      <c r="C204" s="17">
        <v>8.6999999999999994E-2</v>
      </c>
      <c r="D204" s="17">
        <v>0.161</v>
      </c>
      <c r="E204" s="7">
        <v>0</v>
      </c>
      <c r="F204" s="7">
        <v>0</v>
      </c>
      <c r="G204" s="17">
        <v>1.4999999999999999E-2</v>
      </c>
      <c r="H204" s="7">
        <v>0</v>
      </c>
      <c r="I204" s="17">
        <v>0.188</v>
      </c>
      <c r="J204" s="14">
        <v>0.59</v>
      </c>
      <c r="K204" s="15">
        <v>19</v>
      </c>
      <c r="L204" s="14">
        <v>7.83</v>
      </c>
      <c r="M204" s="14">
        <v>8.41</v>
      </c>
      <c r="N204" s="16">
        <v>6.1</v>
      </c>
      <c r="O204" s="16">
        <v>13.6</v>
      </c>
      <c r="P204" s="15">
        <v>35</v>
      </c>
      <c r="Q204" s="15">
        <v>120</v>
      </c>
      <c r="R204" s="25"/>
    </row>
    <row r="205" spans="1:18" ht="16.5" x14ac:dyDescent="0.25">
      <c r="A205" t="s">
        <v>44</v>
      </c>
      <c r="B205">
        <v>4</v>
      </c>
      <c r="C205" s="17">
        <v>1.2E-2</v>
      </c>
      <c r="D205" s="7">
        <v>0</v>
      </c>
      <c r="E205" s="7">
        <v>0</v>
      </c>
      <c r="F205" s="7">
        <v>0</v>
      </c>
      <c r="G205" s="7">
        <v>0</v>
      </c>
      <c r="H205" s="7">
        <v>7.0000000000000001E-3</v>
      </c>
      <c r="I205" s="7">
        <v>0</v>
      </c>
      <c r="J205" s="14">
        <v>0.13</v>
      </c>
      <c r="K205" s="15">
        <v>5</v>
      </c>
      <c r="L205" s="14">
        <v>8.5399999999999991</v>
      </c>
      <c r="M205" s="14">
        <v>8.2899999999999991</v>
      </c>
      <c r="N205" s="16">
        <v>4.0999999999999996</v>
      </c>
      <c r="O205" s="16">
        <v>13.6</v>
      </c>
      <c r="P205" s="15">
        <v>7</v>
      </c>
      <c r="Q205" s="15">
        <v>140</v>
      </c>
      <c r="R205" s="25"/>
    </row>
    <row r="206" spans="1:18" ht="16.5" x14ac:dyDescent="0.25">
      <c r="A206" t="s">
        <v>45</v>
      </c>
      <c r="B206">
        <v>4</v>
      </c>
      <c r="C206" s="17">
        <v>2.5000000000000001E-2</v>
      </c>
      <c r="D206" s="16">
        <v>0.1</v>
      </c>
      <c r="E206" s="7">
        <v>0</v>
      </c>
      <c r="F206" s="17">
        <v>0.312</v>
      </c>
      <c r="G206" s="17">
        <v>7.0000000000000001E-3</v>
      </c>
      <c r="H206" s="7">
        <v>0</v>
      </c>
      <c r="I206" s="7">
        <v>0</v>
      </c>
      <c r="J206" s="7">
        <v>0.09</v>
      </c>
      <c r="K206" s="15">
        <v>6</v>
      </c>
      <c r="L206" s="16">
        <v>8.9</v>
      </c>
      <c r="M206" s="16">
        <v>9.8000000000000007</v>
      </c>
      <c r="N206" s="16">
        <v>7.3</v>
      </c>
      <c r="O206" s="16">
        <v>13.6</v>
      </c>
      <c r="P206" s="7">
        <v>5</v>
      </c>
      <c r="Q206" s="15">
        <v>280</v>
      </c>
      <c r="R206" s="25"/>
    </row>
    <row r="207" spans="1:18" ht="16.5" x14ac:dyDescent="0.25">
      <c r="A207" t="s">
        <v>46</v>
      </c>
      <c r="B207">
        <v>4</v>
      </c>
      <c r="C207" s="17">
        <v>8.6999999999999994E-2</v>
      </c>
      <c r="D207" s="17">
        <v>0.23400000000000001</v>
      </c>
      <c r="E207" s="7">
        <v>10</v>
      </c>
      <c r="F207" s="7">
        <v>0.1</v>
      </c>
      <c r="G207" s="17">
        <v>8.0000000000000002E-3</v>
      </c>
      <c r="H207" s="7">
        <v>0</v>
      </c>
      <c r="I207" s="7">
        <v>0</v>
      </c>
      <c r="J207" s="7">
        <v>0.09</v>
      </c>
      <c r="K207" s="15">
        <v>6</v>
      </c>
      <c r="L207" s="16">
        <v>8.6</v>
      </c>
      <c r="M207" s="16">
        <v>9.4</v>
      </c>
      <c r="N207" s="16">
        <v>3.9</v>
      </c>
      <c r="O207" s="15">
        <v>9</v>
      </c>
      <c r="P207" s="7">
        <v>5</v>
      </c>
      <c r="Q207" s="15">
        <v>260</v>
      </c>
      <c r="R207" s="25"/>
    </row>
    <row r="208" spans="1:18" ht="16.5" x14ac:dyDescent="0.25">
      <c r="A208" t="s">
        <v>47</v>
      </c>
      <c r="B208">
        <v>4</v>
      </c>
      <c r="C208" s="14">
        <v>0.01</v>
      </c>
      <c r="D208" s="7">
        <v>0.09</v>
      </c>
      <c r="E208" s="7">
        <v>10</v>
      </c>
      <c r="F208" s="7">
        <v>0</v>
      </c>
      <c r="G208" s="7">
        <v>0</v>
      </c>
      <c r="H208" s="7">
        <v>7.0000000000000001E-3</v>
      </c>
      <c r="I208" s="17">
        <v>5.2999999999999999E-2</v>
      </c>
      <c r="J208" s="14">
        <v>0.33</v>
      </c>
      <c r="K208" s="15">
        <v>18</v>
      </c>
      <c r="L208" s="14">
        <v>8.92</v>
      </c>
      <c r="M208" s="16">
        <v>8.3000000000000007</v>
      </c>
      <c r="N208" s="16">
        <v>6</v>
      </c>
      <c r="O208" s="16">
        <v>22.5</v>
      </c>
      <c r="P208" s="15">
        <v>31</v>
      </c>
      <c r="Q208" s="15">
        <v>1850</v>
      </c>
      <c r="R208" s="25"/>
    </row>
    <row r="209" spans="1:18" ht="16.5" x14ac:dyDescent="0.25">
      <c r="A209" t="s">
        <v>48</v>
      </c>
      <c r="B209">
        <v>4</v>
      </c>
      <c r="C209" s="17">
        <v>1.7999999999999999E-2</v>
      </c>
      <c r="D209" s="17">
        <v>0.61599999999999999</v>
      </c>
      <c r="E209" s="15">
        <v>11</v>
      </c>
      <c r="F209" s="17">
        <v>0.44600000000000001</v>
      </c>
      <c r="G209" s="7">
        <v>7.0000000000000001E-3</v>
      </c>
      <c r="H209" s="7">
        <v>0</v>
      </c>
      <c r="I209" s="17">
        <v>0.28299999999999997</v>
      </c>
      <c r="J209" s="14">
        <v>0.95</v>
      </c>
      <c r="K209" s="15">
        <v>43</v>
      </c>
      <c r="L209" s="14">
        <v>8.0500000000000007</v>
      </c>
      <c r="M209" s="14">
        <v>7.88</v>
      </c>
      <c r="N209" s="16">
        <v>6.4</v>
      </c>
      <c r="O209" s="15">
        <v>29</v>
      </c>
      <c r="P209" s="15">
        <v>25</v>
      </c>
      <c r="Q209" s="15">
        <v>1400</v>
      </c>
      <c r="R209" s="25"/>
    </row>
    <row r="210" spans="1:18" ht="16.5" x14ac:dyDescent="0.25">
      <c r="A210" t="s">
        <v>49</v>
      </c>
      <c r="B210">
        <v>4</v>
      </c>
      <c r="C210" s="17">
        <v>3.5000000000000003E-2</v>
      </c>
      <c r="D210" s="14">
        <v>11.84</v>
      </c>
      <c r="E210" s="16">
        <v>50.4</v>
      </c>
      <c r="F210" s="17">
        <v>0.81899999999999995</v>
      </c>
      <c r="G210" s="7">
        <v>7.0000000000000001E-3</v>
      </c>
      <c r="H210" s="7">
        <v>0</v>
      </c>
      <c r="I210" s="17">
        <v>0.39100000000000001</v>
      </c>
      <c r="J210" s="14">
        <v>0.69</v>
      </c>
      <c r="K210" s="15">
        <v>31</v>
      </c>
      <c r="L210" s="14">
        <v>7.79</v>
      </c>
      <c r="M210" s="14">
        <v>6.07</v>
      </c>
      <c r="N210" s="16">
        <v>12.1</v>
      </c>
      <c r="O210" s="16">
        <v>37.4</v>
      </c>
      <c r="P210" s="15">
        <v>10</v>
      </c>
      <c r="Q210" s="15">
        <v>2400</v>
      </c>
      <c r="R210" s="25"/>
    </row>
    <row r="211" spans="1:18" ht="16.5" x14ac:dyDescent="0.25">
      <c r="A211" t="s">
        <v>50</v>
      </c>
      <c r="B211">
        <v>4</v>
      </c>
      <c r="C211" s="14">
        <v>0.02</v>
      </c>
      <c r="D211" s="16">
        <v>4.2</v>
      </c>
      <c r="E211" s="15">
        <v>136</v>
      </c>
      <c r="F211" s="17">
        <v>1.302</v>
      </c>
      <c r="G211" s="7">
        <v>7.0000000000000001E-3</v>
      </c>
      <c r="H211" s="7">
        <v>0</v>
      </c>
      <c r="I211" s="17">
        <v>0.79700000000000004</v>
      </c>
      <c r="J211" s="14">
        <v>1.25</v>
      </c>
      <c r="K211" s="15">
        <v>14</v>
      </c>
      <c r="L211" s="14">
        <v>7.45</v>
      </c>
      <c r="M211" s="14">
        <v>6.02</v>
      </c>
      <c r="N211" s="16">
        <v>8.3000000000000007</v>
      </c>
      <c r="O211" s="16">
        <v>36.5</v>
      </c>
      <c r="P211" s="15">
        <v>10</v>
      </c>
      <c r="Q211" s="15">
        <v>1300</v>
      </c>
      <c r="R211" s="25"/>
    </row>
    <row r="212" spans="1:18" ht="16.5" x14ac:dyDescent="0.25">
      <c r="A212" t="s">
        <v>51</v>
      </c>
      <c r="B212">
        <v>4</v>
      </c>
      <c r="C212" s="17">
        <v>2.9000000000000001E-2</v>
      </c>
      <c r="D212" s="14">
        <v>13.64</v>
      </c>
      <c r="E212" s="16">
        <v>57.4</v>
      </c>
      <c r="F212" s="17">
        <v>0.23699999999999999</v>
      </c>
      <c r="G212" s="7">
        <v>7.0000000000000001E-3</v>
      </c>
      <c r="H212" s="7">
        <v>0</v>
      </c>
      <c r="I212" s="17">
        <v>0.377</v>
      </c>
      <c r="J212" s="14">
        <v>1.28</v>
      </c>
      <c r="K212" s="15">
        <v>40</v>
      </c>
      <c r="L212" s="14">
        <v>7.74</v>
      </c>
      <c r="M212" s="14">
        <v>8.11</v>
      </c>
      <c r="N212" s="16">
        <v>10.7</v>
      </c>
      <c r="O212" s="16">
        <v>39.299999999999997</v>
      </c>
      <c r="P212" s="15">
        <v>13</v>
      </c>
      <c r="Q212" s="15">
        <v>2100</v>
      </c>
      <c r="R212" s="25"/>
    </row>
    <row r="213" spans="1:18" ht="16.5" x14ac:dyDescent="0.25">
      <c r="A213" t="s">
        <v>52</v>
      </c>
      <c r="B213">
        <v>4</v>
      </c>
      <c r="C213" s="17">
        <v>2.3E-2</v>
      </c>
      <c r="D213" s="14">
        <v>4.25</v>
      </c>
      <c r="E213" s="15">
        <v>36</v>
      </c>
      <c r="F213" s="17">
        <v>0.29499999999999998</v>
      </c>
      <c r="G213" s="7">
        <v>7.0000000000000001E-3</v>
      </c>
      <c r="H213" s="7">
        <v>0</v>
      </c>
      <c r="I213" s="17">
        <v>0.245</v>
      </c>
      <c r="J213" s="16">
        <v>0.7</v>
      </c>
      <c r="K213" s="15">
        <v>14</v>
      </c>
      <c r="L213" s="14">
        <v>8.61</v>
      </c>
      <c r="M213" s="14">
        <v>11.02</v>
      </c>
      <c r="N213" s="16">
        <v>13.9</v>
      </c>
      <c r="O213" s="16">
        <v>38.4</v>
      </c>
      <c r="P213" s="15">
        <v>13</v>
      </c>
      <c r="Q213" s="15">
        <v>1400</v>
      </c>
      <c r="R213" s="25"/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Ngọc Phan</dc:creator>
  <cp:lastModifiedBy>Công Ngọc Phan</cp:lastModifiedBy>
  <dcterms:created xsi:type="dcterms:W3CDTF">2025-11-24T03:10:50Z</dcterms:created>
  <dcterms:modified xsi:type="dcterms:W3CDTF">2025-12-09T13:06:12Z</dcterms:modified>
</cp:coreProperties>
</file>